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1a06ca32e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ering Summary" sheetId="1" r:id="R218a9eece3564e33"/>
    <x:sheet xmlns:r="http://schemas.openxmlformats.org/officeDocument/2006/relationships" name="Confirmed Designs" sheetId="2" r:id="R4e6952fe3ebb435c"/>
    <x:sheet xmlns:r="http://schemas.openxmlformats.org/officeDocument/2006/relationships" name="Trade-off Analysis" sheetId="3" r:id="Rc1a62ad98a6a4b4f"/>
    <x:sheet xmlns:r="http://schemas.openxmlformats.org/officeDocument/2006/relationships" name="Raw COMSOL" sheetId="4" r:id="R9cee3d38c85e4806"/>
    <x:sheet xmlns:r="http://schemas.openxmlformats.org/officeDocument/2006/relationships" name="Chart Data" sheetId="5" r:id="R04fe6160fff6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%"/>
    <x:numFmt numFmtId="202" formatCode="0.00"/>
    <x:numFmt numFmtId="203" formatCode="0.000000"/>
    <x:numFmt numFmtId="204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39e74aa9747c4" /><Relationship Type="http://schemas.openxmlformats.org/officeDocument/2006/relationships/theme" Target="/xl/theme/theme1.xml" Id="Read3c2ca2f064f5d" /><Relationship Type="http://schemas.openxmlformats.org/officeDocument/2006/relationships/sharedStrings" Target="/xl/sharedStrings.xml" Id="Ra358f5848b494c31" /><Relationship Type="http://schemas.openxmlformats.org/officeDocument/2006/relationships/worksheet" Target="/xl/worksheets/sheet1.xml" Id="R218a9eece3564e33" /><Relationship Type="http://schemas.openxmlformats.org/officeDocument/2006/relationships/worksheet" Target="/xl/worksheets/sheet2.xml" Id="R4e6952fe3ebb435c" /><Relationship Type="http://schemas.openxmlformats.org/officeDocument/2006/relationships/worksheet" Target="/xl/worksheets/sheet3.xml" Id="Rc1a62ad98a6a4b4f" /><Relationship Type="http://schemas.openxmlformats.org/officeDocument/2006/relationships/worksheet" Target="/xl/worksheets/sheet4.xml" Id="R9cee3d38c85e4806" /><Relationship Type="http://schemas.openxmlformats.org/officeDocument/2006/relationships/worksheet" Target="/xl/worksheets/sheet5.xml" Id="R04fe6160fff642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ac463a96754b68" /><Relationship Type="http://schemas.openxmlformats.org/officeDocument/2006/relationships/chart" Target="/xl/drawings/charts/chart2.xml" Id="R5670d64875294aac" /><Relationship Type="http://schemas.openxmlformats.org/officeDocument/2006/relationships/chart" Target="/xl/drawings/charts/chart3.xml" Id="R12eee1265b93427c" /><Relationship Type="http://schemas.openxmlformats.org/officeDocument/2006/relationships/chart" Target="/xl/drawings/charts/chart4.xml" Id="R3b0965f9fe3a40f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Maximum chip temperature</c:v>
          </c:tx>
          <c:cat>
            <c:strRef>
              <c:f>'Chart Data'!$A$2:$A$4</c:f>
              <c:strCache>
                <c:ptCount val="0"/>
              </c:strCache>
            </c:strRef>
          </c:cat>
          <c:val>
            <c:numRef>
              <c:f>'Chart Data'!$B$2:$B$4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Pumping power</c:v>
          </c:tx>
          <c:cat>
            <c:strRef>
              <c:f>'Chart Data'!$A$2:$A$4</c:f>
              <c:strCache>
                <c:ptCount val="0"/>
              </c:strCache>
            </c:strRef>
          </c:cat>
          <c:val>
            <c:numRef>
              <c:f>'Chart Data'!$C$2:$C$4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Pressure drop</c:v>
          </c:tx>
          <c:cat>
            <c:strRef>
              <c:f>'Chart Data'!$A$2:$A$4</c:f>
              <c:strCache>
                <c:ptCount val="0"/>
              </c:strCache>
            </c:strRef>
          </c:cat>
          <c:val>
            <c:numRef>
              <c:f>'Chart Data'!$D$2:$D$4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System thermal resistance</c:v>
          </c:tx>
          <c:cat>
            <c:strRef>
              <c:f>'Chart Data'!$A$2:$A$4</c:f>
              <c:strCache>
                <c:ptCount val="0"/>
              </c:strCache>
            </c:strRef>
          </c:cat>
          <c:val>
            <c:numRef>
              <c:f>'Chart Data'!$E$2:$E$4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ac463a96754b68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70d64875294aac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eee1265b93427c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0965f9fe3a40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firmedDesignsTable" displayName="ConfirmedDesignsTable" ref="A1:O4" headerRowCount="1">
  <x:tableColumns count="15">
    <x:tableColumn id="1" name="Design"/>
    <x:tableColumn id="2" name="Flow rate (L/min)"/>
    <x:tableColumn id="3" name="TIM thickness (mm)"/>
    <x:tableColumn id="4" name="TIM k (W/m·K)"/>
    <x:tableColumn id="5" name="Tmax (°C)"/>
    <x:tableColumn id="6" name="Margin to 85°C (°C)"/>
    <x:tableColumn id="7" name="System Rth (K/W)"/>
    <x:tableColumn id="8" name="Tout (°C)"/>
    <x:tableColumn id="9" name="Pressure drop (Pa)"/>
    <x:tableColumn id="10" name="Pressure drop (kPa)"/>
    <x:tableColumn id="11" name="Pumping power (W)"/>
    <x:tableColumn id="12" name="Pumping power (mW)"/>
    <x:tableColumn id="13" name="Mass-balance error (%)"/>
    <x:tableColumn id="14" name="Pump identity error (%)"/>
    <x:tableColumn id="15" name="Thermal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8a370e56084f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4f16e8df1409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42" hidden="0" customWidth="1"/>
    <x:col min="5" max="5" width="18" hidden="0" customWidth="1"/>
  </x:cols>
  <x:sheetData>
    <x:row r="1">
      <x:c r="A1" s="4" t="str">
        <x:v>Final Engineering Results — COMSOL-Confirmed Pareto Designs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Recommended design: Balanced knee point</x:v>
      </x:c>
      <x:c r="B4" s="10"/>
      <x:c r="C4" s="10"/>
      <x:c r="D4" s="10"/>
      <x:c r="E4" s="10"/>
      <x:c r="F4" s="10"/>
      <x:c r="G4" s="10"/>
      <x:c r="H4" s="10"/>
    </x:row>
    <x:row r="6">
      <x:c r="A6" s="18" t="str">
        <x:v>Metric</x:v>
      </x:c>
      <x:c r="B6" s="18" t="str">
        <x:v>Balanced knee point</x:v>
      </x:c>
      <x:c r="D6" s="18" t="str">
        <x:v>Why the knee point is recommended</x:v>
      </x:c>
      <x:c r="E6" s="18"/>
      <x:c r="F6" s="18"/>
      <x:c r="G6" s="18"/>
      <x:c r="H6" s="18"/>
    </x:row>
    <x:row r="7">
      <x:c r="A7" s="24" t="str">
        <x:v>Flow rate (L/min)</x:v>
      </x:c>
      <x:c r="B7" s="26" t="n">
        <x:v>0.18799985270041958</x:v>
      </x:c>
      <x:c r="D7" s="24" t="str">
        <x:v>Pump reduction vs minimum-temperature design</x:v>
      </x:c>
      <x:c r="E7" s="28" t="n">
        <x:v>0.6353378222871247</x:v>
      </x:c>
    </x:row>
    <x:row r="8">
      <x:c r="A8" s="24" t="str">
        <x:v>Maximum chip temperature (°C)</x:v>
      </x:c>
      <x:c r="B8" s="26" t="n">
        <x:v>64.72510987938148</x:v>
      </x:c>
      <x:c r="D8" s="24" t="str">
        <x:v>Pressure-drop reduction vs minimum-temperature design</x:v>
      </x:c>
      <x:c r="E8" s="28" t="n">
        <x:v>0.41809226960711376</x:v>
      </x:c>
    </x:row>
    <x:row r="9">
      <x:c r="A9" s="24" t="str">
        <x:v>Thermal margin to 85°C (°C)</x:v>
      </x:c>
      <x:c r="B9" s="26" t="n">
        <x:v>20.274890120618522</x:v>
      </x:c>
      <x:c r="D9" s="24" t="str">
        <x:v>Flow reduction vs minimum-temperature design</x:v>
      </x:c>
      <x:c r="E9" s="28" t="n">
        <x:v>0.37333352536934894</x:v>
      </x:c>
    </x:row>
    <x:row r="10">
      <x:c r="A10" s="24" t="str">
        <x:v>System thermal resistance (K/W)</x:v>
      </x:c>
      <x:c r="B10" s="26" t="n">
        <x:v>0.39725109879381476</x:v>
      </x:c>
      <x:c r="D10" s="24" t="str">
        <x:v>Temperature penalty vs minimum-temperature design (°C)</x:v>
      </x:c>
      <x:c r="E10" s="30" t="n">
        <x:v>4.1069606687350415</x:v>
      </x:c>
    </x:row>
    <x:row r="11">
      <x:c r="A11" s="24" t="str">
        <x:v>Pressure drop (kPa)</x:v>
      </x:c>
      <x:c r="B11" s="26" t="n">
        <x:v>6.3667425495250205</x:v>
      </x:c>
      <x:c r="D11" s="24" t="str">
        <x:v>Remaining thermal margin (°C)</x:v>
      </x:c>
      <x:c r="E11" s="30" t="n">
        <x:v>20.274890120618522</x:v>
      </x:c>
    </x:row>
    <x:row r="12">
      <x:c r="A12" s="24" t="str">
        <x:v>Pumping power (mW)</x:v>
      </x:c>
      <x:c r="B12" s="26" t="n">
        <x:v>19.9491266551784</x:v>
      </x:c>
    </x:row>
    <x:row r="13">
      <x:c r="A13" s="24" t="str">
        <x:v>Mass-balance error (%)</x:v>
      </x:c>
      <x:c r="B13" s="26" t="n">
        <x:v>0.2190019629964022</x:v>
      </x:c>
    </x:row>
    <x:row r="16">
      <x:c r="A16" s="10" t="str">
        <x:v>Engineering conclusion</x:v>
      </x:c>
      <x:c r="B16" s="10"/>
      <x:c r="C16" s="10"/>
      <x:c r="D16" s="10"/>
      <x:c r="E16" s="10"/>
      <x:c r="F16" s="10"/>
      <x:c r="G16" s="10"/>
      <x:c r="H16" s="10"/>
    </x:row>
    <x:row r="17">
      <x:c r="A17" s="34" t="str">
        <x:v>All three Pareto candidates satisfy Tmax ≤ 85°C in COMSOL. The balanced knee point is the preferred general-purpose operating design because it cuts hydraulic pumping power by 63.5% relative to the minimum-temperature point while increasing Tmax by only 4.11°C.</x:v>
      </x:c>
      <x:c r="B17" s="34"/>
      <x:c r="C17" s="34"/>
      <x:c r="D17" s="34"/>
      <x:c r="E17" s="34"/>
      <x:c r="F17" s="34"/>
      <x:c r="G17" s="34"/>
      <x:c r="H17" s="34"/>
    </x:row>
    <x:row r="18">
      <x:c r="A18" s="34"/>
      <x:c r="B18" s="34"/>
      <x:c r="C18" s="34"/>
      <x:c r="D18" s="34"/>
      <x:c r="E18" s="34"/>
      <x:c r="F18" s="34"/>
      <x:c r="G18" s="34"/>
      <x:c r="H18" s="34"/>
    </x:row>
    <x:row r="19">
      <x:c r="A19" s="34"/>
      <x:c r="B19" s="34"/>
      <x:c r="C19" s="34"/>
      <x:c r="D19" s="34"/>
      <x:c r="E19" s="34"/>
      <x:c r="F19" s="34"/>
      <x:c r="G19" s="34"/>
      <x:c r="H19" s="34"/>
    </x:row>
    <x:row r="20">
      <x:c r="A20" s="34"/>
      <x:c r="B20" s="34"/>
      <x:c r="C20" s="34"/>
      <x:c r="D20" s="34"/>
      <x:c r="E20" s="34"/>
      <x:c r="F20" s="34"/>
      <x:c r="G20" s="34"/>
      <x:c r="H20" s="34"/>
    </x:row>
  </x:sheetData>
  <x:mergeCells>
    <x:mergeCell ref="A1:H2"/>
    <x:mergeCell ref="A4:H4"/>
    <x:mergeCell ref="D6:H6"/>
    <x:mergeCell ref="A16:H16"/>
    <x:mergeCell ref="A17:H20"/>
  </x:mergeCells>
  <x:pageMargins left="0.7" right="0.7" top="0.75" bottom="0.75" header="0.3" footer="0.3"/>
  <x:drawing xmlns:r="http://schemas.openxmlformats.org/officeDocument/2006/relationships" r:id="R698a370e56084f34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8" t="str">
        <x:v>Design</x:v>
      </x:c>
      <x:c r="B1" s="18" t="str">
        <x:v>Flow rate (L/min)</x:v>
      </x:c>
      <x:c r="C1" s="18" t="str">
        <x:v>TIM thickness (mm)</x:v>
      </x:c>
      <x:c r="D1" s="18" t="str">
        <x:v>TIM k (W/m·K)</x:v>
      </x:c>
      <x:c r="E1" s="18" t="str">
        <x:v>Tmax (°C)</x:v>
      </x:c>
      <x:c r="F1" s="18" t="str">
        <x:v>Margin to 85°C (°C)</x:v>
      </x:c>
      <x:c r="G1" s="18" t="str">
        <x:v>System Rth (K/W)</x:v>
      </x:c>
      <x:c r="H1" s="18" t="str">
        <x:v>Tout (°C)</x:v>
      </x:c>
      <x:c r="I1" s="18" t="str">
        <x:v>Pressure drop (Pa)</x:v>
      </x:c>
      <x:c r="J1" s="18" t="str">
        <x:v>Pressure drop (kPa)</x:v>
      </x:c>
      <x:c r="K1" s="18" t="str">
        <x:v>Pumping power (W)</x:v>
      </x:c>
      <x:c r="L1" s="18" t="str">
        <x:v>Pumping power (mW)</x:v>
      </x:c>
      <x:c r="M1" s="18" t="str">
        <x:v>Mass-balance error (%)</x:v>
      </x:c>
      <x:c r="N1" s="18" t="str">
        <x:v>Pump identity error (%)</x:v>
      </x:c>
      <x:c r="O1" s="18" t="str">
        <x:v>Thermal status</x:v>
      </x:c>
    </x:row>
    <x:row r="2">
      <x:c r="A2" s="32" t="str">
        <x:v>Minimum temperature</x:v>
      </x:c>
      <x:c r="B2" s="40" t="n">
        <x:v>0.2999998568795693</x:v>
      </x:c>
      <x:c r="C2" s="40" t="n">
        <x:v>0.05</x:v>
      </x:c>
      <x:c r="D2" s="40" t="n">
        <x:v>6</x:v>
      </x:c>
      <x:c r="E2" s="40" t="n">
        <x:v>60.618149210646436</x:v>
      </x:c>
      <x:c r="F2" s="40" t="n">
        <x:v>24.381850789353564</x:v>
      </x:c>
      <x:c r="G2" s="40" t="n">
        <x:v>0.3561814921064644</x:v>
      </x:c>
      <x:c r="H2" s="40" t="n">
        <x:v>29.760715466383658</x:v>
      </x:c>
      <x:c r="I2" s="40" t="n">
        <x:v>10941.154786217381</x:v>
      </x:c>
      <x:c r="J2" s="41" t="n">
        <x:v>10.941154786217382</x:v>
      </x:c>
      <x:c r="K2" s="40" t="n">
        <x:v>0.0547057739310869</x:v>
      </x:c>
      <x:c r="L2" s="41" t="n">
        <x:v>54.7057739310869</x:v>
      </x:c>
      <x:c r="M2" s="40" t="n">
        <x:v>0.12995235870230604</x:v>
      </x:c>
      <x:c r="N2" s="40" t="n">
        <x:v>0.00004770681022054577</x:v>
      </x:c>
      <x:c r="O2" s="32" t="str">
        <x:v>PASS</x:v>
      </x:c>
    </x:row>
    <x:row r="3">
      <x:c r="A3" s="32" t="str">
        <x:v>Balanced knee point</x:v>
      </x:c>
      <x:c r="B3" s="40" t="n">
        <x:v>0.18799985270041958</x:v>
      </x:c>
      <x:c r="C3" s="40" t="n">
        <x:v>0.05</x:v>
      </x:c>
      <x:c r="D3" s="40" t="n">
        <x:v>6</x:v>
      </x:c>
      <x:c r="E3" s="40" t="n">
        <x:v>64.72510987938148</x:v>
      </x:c>
      <x:c r="F3" s="40" t="n">
        <x:v>20.274890120618522</x:v>
      </x:c>
      <x:c r="G3" s="40" t="n">
        <x:v>0.39725109879381476</x:v>
      </x:c>
      <x:c r="H3" s="40" t="n">
        <x:v>32.62110289309459</x:v>
      </x:c>
      <x:c r="I3" s="40" t="n">
        <x:v>6366.742549525021</x:v>
      </x:c>
      <x:c r="J3" s="41" t="n">
        <x:v>6.3667425495250205</x:v>
      </x:c>
      <x:c r="K3" s="40" t="n">
        <x:v>0.0199491266551784</x:v>
      </x:c>
      <x:c r="L3" s="41" t="n">
        <x:v>19.9491266551784</x:v>
      </x:c>
      <x:c r="M3" s="40" t="n">
        <x:v>0.2190019629964022</x:v>
      </x:c>
      <x:c r="N3" s="40" t="n">
        <x:v>0.00007835084064882832</x:v>
      </x:c>
      <x:c r="O3" s="32" t="str">
        <x:v>PASS</x:v>
      </x:c>
    </x:row>
    <x:row r="4">
      <x:c r="A4" s="32" t="str">
        <x:v>Minimum pumping power</x:v>
      </x:c>
      <x:c r="B4" s="40" t="n">
        <x:v>0.09999984604033225</x:v>
      </x:c>
      <x:c r="C4" s="40" t="n">
        <x:v>0.05</x:v>
      </x:c>
      <x:c r="D4" s="40" t="n">
        <x:v>6</x:v>
      </x:c>
      <x:c r="E4" s="40" t="n">
        <x:v>71.78951480258621</x:v>
      </x:c>
      <x:c r="F4" s="40" t="n">
        <x:v>13.210485197413789</x:v>
      </x:c>
      <x:c r="G4" s="40" t="n">
        <x:v>0.46789514802586213</x:v>
      </x:c>
      <x:c r="H4" s="40" t="n">
        <x:v>39.353109506398994</x:v>
      </x:c>
      <x:c r="I4" s="40" t="n">
        <x:v>2967.9618382146527</x:v>
      </x:c>
      <x:c r="J4" s="41" t="n">
        <x:v>2.9679618382146526</x:v>
      </x:c>
      <x:c r="K4" s="40" t="n">
        <x:v>0.004946603063691088</x:v>
      </x:c>
      <x:c r="L4" s="41" t="n">
        <x:v>4.946603063691088</x:v>
      </x:c>
      <x:c r="M4" s="40" t="n">
        <x:v>0.44506997749868166</x:v>
      </x:c>
      <x:c r="N4" s="40" t="n">
        <x:v>0.00015395966775324786</x:v>
      </x:c>
      <x:c r="O4" s="32" t="str">
        <x:v>PASS</x:v>
      </x:c>
    </x:row>
  </x:sheetData>
  <x:conditionalFormatting sqref="O2:O4">
    <x:cfRule type="expression" dxfId="0" priority="1">
      <x:formula>O2="PASS"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24f16e8df140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16" hidden="0" customWidth="1"/>
    <x:col min="5" max="5" width="34" hidden="0" customWidth="1"/>
    <x:col min="6" max="6" width="26" hidden="0" customWidth="1"/>
  </x:cols>
  <x:sheetData>
    <x:row r="1">
      <x:c r="A1" s="4" t="str">
        <x:v>Engineering Trade-off Analysis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8" t="str">
        <x:v>Comparison</x:v>
      </x:c>
      <x:c r="B4" s="18" t="str">
        <x:v>Metric</x:v>
      </x:c>
      <x:c r="C4" s="18" t="str">
        <x:v>Value</x:v>
      </x:c>
      <x:c r="E4" s="18" t="str">
        <x:v>Selection criterion</x:v>
      </x:c>
      <x:c r="F4" s="18" t="str">
        <x:v>Recommended point</x:v>
      </x:c>
    </x:row>
    <x:row r="5">
      <x:c r="A5" t="str">
        <x:v>Knee vs minimum temperature</x:v>
      </x:c>
      <x:c r="B5" t="str">
        <x:v>Temperature penalty (°C)</x:v>
      </x:c>
      <x:c r="C5" s="38" t="n">
        <x:v>4.1069606687350415</x:v>
      </x:c>
      <x:c r="E5" t="str">
        <x:v>Lowest temperature</x:v>
      </x:c>
      <x:c r="F5" t="str">
        <x:v>Minimum temperature</x:v>
      </x:c>
    </x:row>
    <x:row r="6">
      <x:c r="A6" t="str">
        <x:v>Knee vs minimum temperature</x:v>
      </x:c>
      <x:c r="B6" t="str">
        <x:v>Pump reduction (%)</x:v>
      </x:c>
      <x:c r="C6" s="38" t="n">
        <x:v>63.53378222871247</x:v>
      </x:c>
      <x:c r="E6" t="str">
        <x:v>Balanced thermal–hydraulic performance</x:v>
      </x:c>
      <x:c r="F6" t="str">
        <x:v>Balanced knee point</x:v>
      </x:c>
    </x:row>
    <x:row r="7">
      <x:c r="A7" t="str">
        <x:v>Knee vs minimum temperature</x:v>
      </x:c>
      <x:c r="B7" t="str">
        <x:v>Pressure-drop reduction (%)</x:v>
      </x:c>
      <x:c r="C7" s="38" t="n">
        <x:v>41.80922696071138</x:v>
      </x:c>
      <x:c r="E7" t="str">
        <x:v>Lowest hydraulic energy</x:v>
      </x:c>
      <x:c r="F7" t="str">
        <x:v>Minimum pumping power</x:v>
      </x:c>
    </x:row>
    <x:row r="8">
      <x:c r="A8" t="str">
        <x:v>Knee vs minimum temperature</x:v>
      </x:c>
      <x:c r="B8" t="str">
        <x:v>Flow reduction (%)</x:v>
      </x:c>
      <x:c r="C8" s="38" t="n">
        <x:v>37.333352536934896</x:v>
      </x:c>
    </x:row>
    <x:row r="9">
      <x:c r="A9" t="str">
        <x:v>Knee vs minimum pumping power</x:v>
      </x:c>
      <x:c r="B9" t="str">
        <x:v>Temperature improvement (°C)</x:v>
      </x:c>
      <x:c r="C9" s="38" t="n">
        <x:v>7.064404923204734</x:v>
      </x:c>
    </x:row>
    <x:row r="10">
      <x:c r="A10" t="str">
        <x:v>Knee vs minimum pumping power</x:v>
      </x:c>
      <x:c r="B10" t="str">
        <x:v>Pumping-power multiplier</x:v>
      </x:c>
      <x:c r="C10" s="38" t="n">
        <x:v>4.032894169659255</x:v>
      </x:c>
    </x:row>
    <x:row r="11">
      <x:c r="A11" t="str">
        <x:v>Minimum pump vs minimum temperature</x:v>
      </x:c>
      <x:c r="B11" t="str">
        <x:v>Pump reduction (%)</x:v>
      </x:c>
      <x:c r="C11" s="38" t="n">
        <x:v>90.95780443592236</x:v>
      </x:c>
    </x:row>
    <x:row r="12">
      <x:c r="A12" t="str">
        <x:v>Minimum pump vs minimum temperature</x:v>
      </x:c>
      <x:c r="B12" t="str">
        <x:v>Temperature penalty (°C)</x:v>
      </x:c>
      <x:c r="C12" s="38" t="n">
        <x:v>11.171365591939775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8" t="str">
        <x:v>Design</x:v>
      </x:c>
      <x:c r="B1" s="18" t="str">
        <x:v>COMSOL date</x:v>
      </x:c>
      <x:c r="C1" s="18" t="str">
        <x:v>% Temperature (degC)</x:v>
      </x:c>
      <x:c r="D1" s="18" t="str">
        <x:v>x (mm)</x:v>
      </x:c>
      <x:c r="E1" s="18" t="str">
        <x:v>y (mm)</x:v>
      </x:c>
      <x:c r="F1" s="18" t="str">
        <x:v>z (mm)</x:v>
      </x:c>
      <x:c r="G1" s="18" t="str">
        <x:v>Temperature (degC)</x:v>
      </x:c>
      <x:c r="H1" s="18" t="str">
        <x:v>Velocity magnitude (m/s)</x:v>
      </x:c>
      <x:c r="I1" s="18" t="str">
        <x:v>system thermal resistance (K/W)</x:v>
      </x:c>
      <x:c r="J1" s="18" t="str">
        <x:v>Outlet Integration (m^2)</x:v>
      </x:c>
      <x:c r="K1" s="18" t="str">
        <x:v>Outlet Integration (m^3/s)</x:v>
      </x:c>
      <x:c r="L1" s="18" t="str">
        <x:v>flow-weighted outlet temperature (degC)</x:v>
      </x:c>
      <x:c r="M1" s="18" t="str">
        <x:v>mass weitghted (degC)</x:v>
      </x:c>
      <x:c r="N1" s="18" t="str">
        <x:v>area average inlet pressure (N/m^2)</x:v>
      </x:c>
      <x:c r="O1" s="18" t="str">
        <x:v>area average outlet pressure (N/m^2)</x:v>
      </x:c>
      <x:c r="P1" s="18" t="str">
        <x:v>pumping power (W)</x:v>
      </x:c>
      <x:c r="Q1" s="18" t="str">
        <x:v>pressure drop (N/m^2)</x:v>
      </x:c>
      <x:c r="R1" s="18" t="str">
        <x:v>Qin (m^3/s)</x:v>
      </x:c>
    </x:row>
    <x:row r="2">
      <x:c r="A2" s="32" t="str">
        <x:v>Minimum temperature</x:v>
      </x:c>
      <x:c r="B2" s="32" t="str">
        <x:v>Aug 7 2026, 12:45</x:v>
      </x:c>
      <x:c r="C2" s="32" t="n">
        <x:v>60.618149210646436</x:v>
      </x:c>
      <x:c r="D2" s="32" t="n">
        <x:v>16.95802991648224</x:v>
      </x:c>
      <x:c r="E2" s="32" t="n">
        <x:v>14.745412474638218</x:v>
      </x:c>
      <x:c r="F2" s="32" t="n">
        <x:v>4.55</x:v>
      </x:c>
      <x:c r="G2" s="32" t="n">
        <x:v>60.618149210646436</x:v>
      </x:c>
      <x:c r="H2" s="32" t="n">
        <x:v>2.356954860759601</x:v>
      </x:c>
      <x:c r="I2" s="32" t="n">
        <x:v>0.3561814921064644</x:v>
      </x:c>
      <x:c r="J2" s="32" t="n">
        <x:v>0.0000021000000000000057</x:v>
      </x:c>
      <x:c r="K2" s="32" t="n">
        <x:v>0.0000050064952294947975</x:v>
      </x:c>
      <x:c r="L2" s="32" t="n">
        <x:v>29.764764568250826</x:v>
      </x:c>
      <x:c r="M2" s="32" t="n">
        <x:v>29.760715466383658</x:v>
      </x:c>
      <x:c r="N2" s="32" t="n">
        <x:v>10997.197128493794</x:v>
      </x:c>
      <x:c r="O2" s="32" t="n">
        <x:v>56.042342276411716</x:v>
      </x:c>
      <x:c r="P2" s="32" t="n">
        <x:v>0.0547057739310869</x:v>
      </x:c>
      <x:c r="Q2" s="32" t="n">
        <x:v>10941.154786217381</x:v>
      </x:c>
      <x:c r="R2" s="32" t="n">
        <x:v>0.0000049999976146594884</x:v>
      </x:c>
    </x:row>
    <x:row r="3">
      <x:c r="A3" s="32" t="str">
        <x:v>Balanced knee point</x:v>
      </x:c>
      <x:c r="B3" s="32" t="str">
        <x:v>Aug 7 2026, 12:41</x:v>
      </x:c>
      <x:c r="C3" s="32" t="n">
        <x:v>64.72510987938148</x:v>
      </x:c>
      <x:c r="D3" s="32" t="n">
        <x:v>16.95802991648224</x:v>
      </x:c>
      <x:c r="E3" s="32" t="n">
        <x:v>14.745412474638218</x:v>
      </x:c>
      <x:c r="F3" s="32" t="n">
        <x:v>4.55</x:v>
      </x:c>
      <x:c r="G3" s="32" t="n">
        <x:v>64.72510987938148</x:v>
      </x:c>
      <x:c r="H3" s="32" t="n">
        <x:v>1.4733537618780772</x:v>
      </x:c>
      <x:c r="I3" s="32" t="n">
        <x:v>0.39725109879381476</x:v>
      </x:c>
      <x:c r="J3" s="32" t="n">
        <x:v>0.0000021000000000000053</x:v>
      </x:c>
      <x:c r="K3" s="32" t="n">
        <x:v>0.0000031401929344710643</x:v>
      </x:c>
      <x:c r="L3" s="32" t="n">
        <x:v>32.626957834286486</x:v>
      </x:c>
      <x:c r="M3" s="32" t="n">
        <x:v>32.62110289309459</x:v>
      </x:c>
      <x:c r="N3" s="32" t="n">
        <x:v>6395.251126685864</x:v>
      </x:c>
      <x:c r="O3" s="32" t="n">
        <x:v>28.508577160842812</x:v>
      </x:c>
      <x:c r="P3" s="32" t="n">
        <x:v>0.0199491266551784</x:v>
      </x:c>
      <x:c r="Q3" s="32" t="n">
        <x:v>6366.742549525021</x:v>
      </x:c>
      <x:c r="R3" s="32" t="n">
        <x:v>0.0000031333308783403265</x:v>
      </x:c>
    </x:row>
    <x:row r="4">
      <x:c r="A4" s="32" t="str">
        <x:v>Minimum pumping power</x:v>
      </x:c>
      <x:c r="B4" s="32" t="str">
        <x:v>Aug 7 2026, 12:39</x:v>
      </x:c>
      <x:c r="C4" s="32" t="n">
        <x:v>71.78951480258621</x:v>
      </x:c>
      <x:c r="D4" s="32" t="n">
        <x:v>16.95802991648224</x:v>
      </x:c>
      <x:c r="E4" s="32" t="n">
        <x:v>14.745412474638218</x:v>
      </x:c>
      <x:c r="F4" s="32" t="n">
        <x:v>4.55</x:v>
      </x:c>
      <x:c r="G4" s="32" t="n">
        <x:v>71.78951480258621</x:v>
      </x:c>
      <x:c r="H4" s="32" t="n">
        <x:v>0.7814367682292531</x:v>
      </x:c>
      <x:c r="I4" s="32" t="n">
        <x:v>0.46789514802586213</x:v>
      </x:c>
      <x:c r="J4" s="32" t="n">
        <x:v>0.0000021000000000000053</x:v>
      </x:c>
      <x:c r="K4" s="32" t="n">
        <x:v>0.0000016740819222100445</x:v>
      </x:c>
      <x:c r="L4" s="32" t="n">
        <x:v>39.36033575346636</x:v>
      </x:c>
      <x:c r="M4" s="32" t="n">
        <x:v>39.353109506398994</x:v>
      </x:c>
      <x:c r="N4" s="32" t="n">
        <x:v>2978.71582763351</x:v>
      </x:c>
      <x:c r="O4" s="32" t="n">
        <x:v>10.753989418856985</x:v>
      </x:c>
      <x:c r="P4" s="32" t="n">
        <x:v>0.004946603063691088</x:v>
      </x:c>
      <x:c r="Q4" s="32" t="n">
        <x:v>2967.9618382146527</x:v>
      </x:c>
      <x:c r="R4" s="32" t="n">
        <x:v>0.0000016666641006722041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Design</x:v>
      </x:c>
      <x:c r="B1" s="18" t="str">
        <x:v>Tmax_C</x:v>
      </x:c>
      <x:c r="C1" s="18" t="str">
        <x:v>Pump_mW</x:v>
      </x:c>
      <x:c r="D1" s="18" t="str">
        <x:v>Pressure_kPa</x:v>
      </x:c>
      <x:c r="E1" s="18" t="str">
        <x:v>Rth_K_W</x:v>
      </x:c>
    </x:row>
    <x:row r="2">
      <x:c r="A2" t="str">
        <x:v>Minimum temperature</x:v>
      </x:c>
      <x:c r="B2" t="n">
        <x:v>60.618149210646436</x:v>
      </x:c>
      <x:c r="C2" t="n">
        <x:v>54.7057739310869</x:v>
      </x:c>
      <x:c r="D2" t="n">
        <x:v>10.941154786217382</x:v>
      </x:c>
      <x:c r="E2" t="n">
        <x:v>0.3561814921064644</x:v>
      </x:c>
    </x:row>
    <x:row r="3">
      <x:c r="A3" t="str">
        <x:v>Balanced knee point</x:v>
      </x:c>
      <x:c r="B3" t="n">
        <x:v>64.72510987938148</x:v>
      </x:c>
      <x:c r="C3" t="n">
        <x:v>19.9491266551784</x:v>
      </x:c>
      <x:c r="D3" t="n">
        <x:v>6.3667425495250205</x:v>
      </x:c>
      <x:c r="E3" t="n">
        <x:v>0.39725109879381476</x:v>
      </x:c>
    </x:row>
    <x:row r="4">
      <x:c r="A4" t="str">
        <x:v>Minimum pumping power</x:v>
      </x:c>
      <x:c r="B4" t="n">
        <x:v>71.78951480258621</x:v>
      </x:c>
      <x:c r="C4" t="n">
        <x:v>4.946603063691088</x:v>
      </x:c>
      <x:c r="D4" t="n">
        <x:v>2.9679618382146526</x:v>
      </x:c>
      <x:c r="E4" t="n">
        <x:v>0.46789514802586213</x:v>
      </x:c>
    </x:row>
  </x:sheetData>
  <x:pageMargins left="0.7" right="0.7" top="0.75" bottom="0.75" header="0.3" footer="0.3"/>
</x:worksheet>
</file>