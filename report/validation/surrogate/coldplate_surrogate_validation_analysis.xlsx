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c31516536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b039d59612c44e1"/>
    <x:sheet xmlns:r="http://schemas.openxmlformats.org/officeDocument/2006/relationships" name="Case Comparison" sheetId="2" r:id="Rc87269b788704d3d"/>
    <x:sheet xmlns:r="http://schemas.openxmlformats.org/officeDocument/2006/relationships" name="Metrics Summary" sheetId="3" r:id="R18b0fb4f81e549f5"/>
    <x:sheet xmlns:r="http://schemas.openxmlformats.org/officeDocument/2006/relationships" name="Predictions Raw" sheetId="4" r:id="R0dc11b3a5b7f4deb"/>
    <x:sheet xmlns:r="http://schemas.openxmlformats.org/officeDocument/2006/relationships" name="COMSOL Raw" sheetId="5" r:id="R7c93a9c593d44652"/>
    <x:sheet xmlns:r="http://schemas.openxmlformats.org/officeDocument/2006/relationships" name="Chart Data" sheetId="6" r:id="Ra891f2e6189748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0000"/>
    <x:numFmt numFmtId="202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fe6d5a25a49f8" /><Relationship Type="http://schemas.openxmlformats.org/officeDocument/2006/relationships/theme" Target="/xl/theme/theme1.xml" Id="R8f467355b9de4c58" /><Relationship Type="http://schemas.openxmlformats.org/officeDocument/2006/relationships/sharedStrings" Target="/xl/sharedStrings.xml" Id="R096897e75d7e445a" /><Relationship Type="http://schemas.openxmlformats.org/officeDocument/2006/relationships/worksheet" Target="/xl/worksheets/sheet1.xml" Id="R2b039d59612c44e1" /><Relationship Type="http://schemas.openxmlformats.org/officeDocument/2006/relationships/worksheet" Target="/xl/worksheets/sheet2.xml" Id="Rc87269b788704d3d" /><Relationship Type="http://schemas.openxmlformats.org/officeDocument/2006/relationships/worksheet" Target="/xl/worksheets/sheet3.xml" Id="R18b0fb4f81e549f5" /><Relationship Type="http://schemas.openxmlformats.org/officeDocument/2006/relationships/worksheet" Target="/xl/worksheets/sheet4.xml" Id="R0dc11b3a5b7f4deb" /><Relationship Type="http://schemas.openxmlformats.org/officeDocument/2006/relationships/worksheet" Target="/xl/worksheets/sheet5.xml" Id="R7c93a9c593d44652" /><Relationship Type="http://schemas.openxmlformats.org/officeDocument/2006/relationships/worksheet" Target="/xl/worksheets/sheet6.xml" Id="Ra891f2e6189748d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94fe61880f4d27" /><Relationship Type="http://schemas.openxmlformats.org/officeDocument/2006/relationships/chart" Target="/xl/drawings/charts/chart2.xml" Id="R0d0efc53040441cc" /><Relationship Type="http://schemas.openxmlformats.org/officeDocument/2006/relationships/chart" Target="/xl/drawings/charts/chart3.xml" Id="Rc6fb6f4b73974f57" /><Relationship Type="http://schemas.openxmlformats.org/officeDocument/2006/relationships/chart" Target="/xl/drawings/charts/chart4.xml" Id="R8e0bfff472fe4bbe" /><Relationship Type="http://schemas.openxmlformats.org/officeDocument/2006/relationships/chart" Target="/xl/drawings/charts/chart5.xml" Id="R956c942db73b40c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Surrogate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Data'!$B$2:$B$6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COMSOL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Data'!$C$2:$C$6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Surrogate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Data'!$D$2:$D$6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COMSOL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Data'!$E$2:$E$6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Surrogate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Data'!$F$2:$F$6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COMSOL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Data'!$G$2:$G$6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Surrogate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Data'!$H$2:$H$6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COMSOL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Data'!$I$2:$I$6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Surrogate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Data'!$J$2:$J$6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COMSOL</c:v>
          </c:tx>
          <c:cat>
            <c:strRef>
              <c:f>'Chart Data'!$A$2:$A$6</c:f>
              <c:strCache>
                <c:ptCount val="0"/>
              </c:strCache>
            </c:strRef>
          </c:cat>
          <c:val>
            <c:numRef>
              <c:f>'Chart Data'!$K$2:$K$6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94fe61880f4d27"/>
        </a:graphicData>
      </a:graphic>
    </xdr:graphicFrame>
    <xdr:clientData/>
  </xdr:twoCellAnchor>
  <xdr:twoCellAnchor>
    <xdr:from>
      <xdr:col>8</xdr:col>
      <xdr:colOff>0</xdr:colOff>
      <xdr:row>25</xdr:row>
      <xdr:rowOff>0</xdr:rowOff>
    </xdr:from>
    <xdr:to>
      <xdr:col>16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0efc53040441cc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8</xdr:col>
      <xdr:colOff>0</xdr:colOff>
      <xdr:row>60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fb6f4b73974f57"/>
        </a:graphicData>
      </a:graphic>
    </xdr:graphicFrame>
    <xdr:clientData/>
  </xdr:twoCellAnchor>
  <xdr:twoCellAnchor>
    <xdr:from>
      <xdr:col>8</xdr:col>
      <xdr:colOff>0</xdr:colOff>
      <xdr:row>43</xdr:row>
      <xdr:rowOff>0</xdr:rowOff>
    </xdr:from>
    <xdr:to>
      <xdr:col>16</xdr:col>
      <xdr:colOff>0</xdr:colOff>
      <xdr:row>60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0bfff472fe4bbe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0</xdr:colOff>
      <xdr:row>78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6c942db73b40c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ionComparisonTable" displayName="ValidationComparisonTable" ref="A4:AG9" headerRowCount="1">
  <x:tableColumns count="33">
    <x:tableColumn id="1" name="Case"/>
    <x:tableColumn id="2" name="Purpose"/>
    <x:tableColumn id="3" name="Flow set (L/min)"/>
    <x:tableColumn id="4" name="Flow actual (L/min)"/>
    <x:tableColumn id="5" name="TIM thickness (mm)"/>
    <x:tableColumn id="6" name="TIM k (W/m·K)"/>
    <x:tableColumn id="7" name="TIM Rth theory (K/W)"/>
    <x:tableColumn id="8" name="Pred Tmax (°C)"/>
    <x:tableColumn id="9" name="COMSOL Tmax (°C)"/>
    <x:tableColumn id="10" name="Tmax signed error (°C)"/>
    <x:tableColumn id="11" name="Tmax abs. error (°C)"/>
    <x:tableColumn id="12" name="Tmax error (%)"/>
    <x:tableColumn id="13" name="Pred system Rth (K/W)"/>
    <x:tableColumn id="14" name="COMSOL system Rth (K/W)"/>
    <x:tableColumn id="15" name="Rth abs. error (K/W)"/>
    <x:tableColumn id="16" name="Rth error (%)"/>
    <x:tableColumn id="17" name="Pred Tout (°C)"/>
    <x:tableColumn id="18" name="COMSOL Tout (°C)"/>
    <x:tableColumn id="19" name="Tout abs. error (°C)"/>
    <x:tableColumn id="20" name="Tout error (%)"/>
    <x:tableColumn id="21" name="Pred Δp (Pa)"/>
    <x:tableColumn id="22" name="COMSOL Δp (Pa)"/>
    <x:tableColumn id="23" name="Δp abs. error (Pa)"/>
    <x:tableColumn id="24" name="Δp error (%)"/>
    <x:tableColumn id="25" name="Pred pump power (W)"/>
    <x:tableColumn id="26" name="COMSOL pump power (W)"/>
    <x:tableColumn id="27" name="Pump abs. error (W)"/>
    <x:tableColumn id="28" name="Pump error (%)"/>
    <x:tableColumn id="29" name="Pred thermal status"/>
    <x:tableColumn id="30" name="COMSOL thermal status"/>
    <x:tableColumn id="31" name="Classification match"/>
    <x:tableColumn id="32" name="Flow label error (%)"/>
    <x:tableColumn id="33" name="Mass balance error (%)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MetricsTable" displayName="ValidationMetricsTable" ref="A4:J9" headerRowCount="1">
  <x:tableColumns count="10">
    <x:tableColumn id="1" name="Parameter"/>
    <x:tableColumn id="2" name="Unit"/>
    <x:tableColumn id="3" name="MAE"/>
    <x:tableColumn id="4" name="RMSE"/>
    <x:tableColumn id="5" name="MAPE (%)"/>
    <x:tableColumn id="6" name="Maximum absolute error"/>
    <x:tableColumn id="7" name="R²"/>
    <x:tableColumn id="8" name="Bias"/>
    <x:tableColumn id="9" name="NRMSE (%)"/>
    <x:tableColumn id="10" name="Acceptance / status"/>
  </x:tableColumns>
  <x:tableStyleInfo name="TableStyleMedium2" showRowStripes="1"/>
</x:table>
</file>

<file path=xl/tables/table3.xml><?xml version="1.0" encoding="utf-8"?>
<x:table xmlns:x="http://schemas.openxmlformats.org/spreadsheetml/2006/main" id="3" name="PredictionsRawTable" displayName="PredictionsRawTable" ref="A1:AB6" headerRowCount="1">
  <x:tableColumns count="28">
    <x:tableColumn id="1" name="case_id"/>
    <x:tableColumn id="2" name="purpose"/>
    <x:tableColumn id="3" name="flow_rate_Lmin"/>
    <x:tableColumn id="4" name="TIM_thickness_mm"/>
    <x:tableColumn id="5" name="TIM_conductivity_W_mK"/>
    <x:tableColumn id="6" name="TIM_resistance_theory_K_W"/>
    <x:tableColumn id="7" name="predicted_system_Rth_K_W"/>
    <x:tableColumn id="8" name="predicted_Tmax_C"/>
    <x:tableColumn id="9" name="predicted_Tout_mass_weighted_C"/>
    <x:tableColumn id="10" name="predicted_pressure_drop_Pa"/>
    <x:tableColumn id="11" name="flow_rate_m3_s"/>
    <x:tableColumn id="12" name="pump_power_from_pressure_W"/>
    <x:tableColumn id="13" name="independent_pump_model_prediction_W"/>
    <x:tableColumn id="14" name="pump_model_vs_physics_difference_percent"/>
    <x:tableColumn id="15" name="thermal_constraint_85C"/>
    <x:tableColumn id="16" name="Rth_feature_set"/>
    <x:tableColumn id="17" name="Rth_model"/>
    <x:tableColumn id="18" name="Tout_feature_set"/>
    <x:tableColumn id="19" name="Tout_model"/>
    <x:tableColumn id="20" name="pressure_drop_feature_set"/>
    <x:tableColumn id="21" name="pressure_drop_model"/>
    <x:tableColumn id="22" name="pump_feature_set"/>
    <x:tableColumn id="23" name="pump_model"/>
    <x:tableColumn id="24" name="channel_width_mm"/>
    <x:tableColumn id="25" name="channel_height_mm"/>
    <x:tableColumn id="26" name="number_channels"/>
    <x:tableColumn id="27" name="heat_load_W"/>
    <x:tableColumn id="28" name="upstream_temperature_C"/>
  </x:tableColumns>
  <x:tableStyleInfo name="TableStyleMedium2" showRowStripes="1"/>
</x:table>
</file>

<file path=xl/tables/table4.xml><?xml version="1.0" encoding="utf-8"?>
<x:table xmlns:x="http://schemas.openxmlformats.org/spreadsheetml/2006/main" id="4" name="COMSOLRawTable" displayName="COMSOLRawTable" ref="A1:Q6" headerRowCount="1">
  <x:tableColumns count="17">
    <x:tableColumn id="1" name="case_id"/>
    <x:tableColumn id="2" name="% Temperature (degC)"/>
    <x:tableColumn id="3" name="x (mm)"/>
    <x:tableColumn id="4" name="y (mm)"/>
    <x:tableColumn id="5" name="z (mm)"/>
    <x:tableColumn id="6" name="Temperature (degC)"/>
    <x:tableColumn id="7" name="Velocity magnitude (m/s)"/>
    <x:tableColumn id="8" name="system thermal resistance (K/W)"/>
    <x:tableColumn id="9" name="Outlet Integration (m^2)"/>
    <x:tableColumn id="10" name="Outlet Integration (m^3/s)"/>
    <x:tableColumn id="11" name="flow-weighted outlet temperature (degC)"/>
    <x:tableColumn id="12" name="mass weitghted (degC)"/>
    <x:tableColumn id="13" name="area average inlet pressure (N/m^2)"/>
    <x:tableColumn id="14" name="area average outlet pressure (N/m^2)"/>
    <x:tableColumn id="15" name="pumping power (W)"/>
    <x:tableColumn id="16" name="pressure drop (N/m^2)"/>
    <x:tableColumn id="17" name="Qin (m^3/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f9ef21514b34d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90dd8a2de446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cedf29126a49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367d0c77c840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dca776c9344d9e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8" hidden="0" customWidth="1"/>
    <x:col min="5" max="5" width="75" hidden="0" customWidth="1"/>
    <x:col min="7" max="7" width="28" hidden="0" customWidth="1"/>
    <x:col min="8" max="8" width="12" hidden="0" customWidth="1"/>
  </x:cols>
  <x:sheetData>
    <x:row r="1" ht="27" customHeight="1">
      <x:c r="A1" s="5" t="str">
        <x:v>Cold-Plate Surrogate Model Validation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44"/>
      <x:c r="R1" s="44"/>
      <x:c r="S1" s="44"/>
      <x:c r="T1" s="44"/>
      <x:c r="U1" s="44"/>
      <x:c r="V1" s="44"/>
      <x:c r="W1" s="44"/>
      <x:c r="X1" s="44"/>
      <x:c r="Y1" s="44"/>
      <x:c r="Z1" s="44"/>
      <x:c r="AA1" s="44"/>
      <x:c r="AB1" s="44"/>
      <x:c r="AC1" s="44"/>
      <x:c r="AD1" s="44"/>
      <x:c r="AE1" s="44"/>
      <x:c r="AF1" s="44"/>
      <x:c r="AG1" s="44"/>
      <x:c r="AH1" s="44"/>
      <x:c r="AI1" s="44"/>
      <x:c r="AJ1" s="44"/>
      <x:c r="AK1" s="44"/>
      <x:c r="AL1" s="44"/>
      <x:c r="AM1" s="44"/>
      <x:c r="AN1" s="44"/>
      <x:c r="AO1" s="44"/>
      <x:c r="AP1" s="44"/>
      <x:c r="AQ1" s="44"/>
      <x:c r="AR1" s="44"/>
      <x:c r="AS1" s="44"/>
      <x:c r="AT1" s="44"/>
      <x:c r="AU1" s="44"/>
      <x:c r="AV1" s="44"/>
      <x:c r="AW1" s="44"/>
      <x:c r="AX1" s="44"/>
      <x:c r="AY1" s="44"/>
      <x:c r="AZ1" s="44"/>
    </x:row>
    <x:row r="2" ht="27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</x:row>
    <x:row r="4">
      <x:c r="A4" s="13" t="str">
        <x:v>Five off-grid COMSOL cases compared against Gaussian-process surrogate predictions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44"/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K4" s="44"/>
      <x:c r="AL4" s="44"/>
      <x:c r="AM4" s="44"/>
      <x:c r="AN4" s="44"/>
      <x:c r="AO4" s="44"/>
      <x:c r="AP4" s="44"/>
      <x:c r="AQ4" s="44"/>
      <x:c r="AR4" s="44"/>
      <x:c r="AS4" s="44"/>
      <x:c r="AT4" s="44"/>
      <x:c r="AU4" s="44"/>
      <x:c r="AV4" s="44"/>
      <x:c r="AW4" s="44"/>
      <x:c r="AX4" s="44"/>
      <x:c r="AY4" s="44"/>
      <x:c r="AZ4" s="44"/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  <x:c r="AA5" s="44"/>
      <x:c r="AB5" s="44"/>
      <x:c r="AC5" s="44"/>
      <x:c r="AD5" s="44"/>
      <x:c r="AE5" s="44"/>
      <x:c r="AF5" s="44"/>
      <x:c r="AG5" s="44"/>
      <x:c r="AH5" s="44"/>
      <x:c r="AI5" s="44"/>
      <x:c r="AJ5" s="44"/>
      <x:c r="AK5" s="44"/>
      <x:c r="AL5" s="44"/>
      <x:c r="AM5" s="44"/>
      <x:c r="AN5" s="44"/>
      <x:c r="AO5" s="44"/>
      <x:c r="AP5" s="44"/>
      <x:c r="AQ5" s="44"/>
      <x:c r="AR5" s="44"/>
      <x:c r="AS5" s="44"/>
      <x:c r="AT5" s="44"/>
      <x:c r="AU5" s="44"/>
      <x:c r="AV5" s="44"/>
      <x:c r="AW5" s="44"/>
      <x:c r="AX5" s="44"/>
      <x:c r="AY5" s="44"/>
      <x:c r="AZ5" s="44"/>
    </x:row>
    <x:row r="6">
      <x:c r="A6" s="22" t="str">
        <x:v>KPI</x:v>
      </x:c>
      <x:c r="B6" s="22" t="str">
        <x:v>Result</x:v>
      </x:c>
      <x:c r="C6" s="44"/>
      <x:c r="D6" s="22" t="str">
        <x:v>Engineering interpretation</x:v>
      </x:c>
      <x:c r="E6" s="22"/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44"/>
      <x:c r="R6" s="44"/>
      <x:c r="S6" s="44"/>
      <x:c r="T6" s="44"/>
      <x:c r="U6" s="44"/>
      <x:c r="V6" s="44"/>
      <x:c r="W6" s="44"/>
      <x:c r="X6" s="44"/>
      <x:c r="Y6" s="44"/>
      <x:c r="Z6" s="44"/>
      <x:c r="AA6" s="44"/>
      <x:c r="AB6" s="44"/>
      <x:c r="AC6" s="44"/>
      <x:c r="AD6" s="44"/>
      <x:c r="AE6" s="44"/>
      <x:c r="AF6" s="44"/>
      <x:c r="AG6" s="44"/>
      <x:c r="AH6" s="44"/>
      <x:c r="AI6" s="44"/>
      <x:c r="AJ6" s="44"/>
      <x:c r="AK6" s="44"/>
      <x:c r="AL6" s="44"/>
      <x:c r="AM6" s="44"/>
      <x:c r="AN6" s="44"/>
      <x:c r="AO6" s="44"/>
      <x:c r="AP6" s="44"/>
      <x:c r="AQ6" s="44"/>
      <x:c r="AR6" s="44"/>
      <x:c r="AS6" s="44"/>
      <x:c r="AT6" s="44"/>
      <x:c r="AU6" s="44"/>
      <x:c r="AV6" s="44"/>
      <x:c r="AW6" s="44"/>
      <x:c r="AX6" s="44"/>
      <x:c r="AY6" s="44"/>
      <x:c r="AZ6" s="44"/>
    </x:row>
    <x:row r="7">
      <x:c r="A7" s="45" t="str">
        <x:v>Validation cases</x:v>
      </x:c>
      <x:c r="B7" s="46" t="n">
        <x:v>5</x:v>
      </x:c>
      <x:c r="C7" s="44"/>
      <x:c r="D7" s="45" t="str">
        <x:v>Overall validation</x:v>
      </x:c>
      <x:c r="E7" s="47" t="str">
        <x:v>All five key outputs passed the predefined accuracy criteria.</x:v>
      </x:c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  <x:c r="AH7" s="44"/>
      <x:c r="AI7" s="44"/>
      <x:c r="AJ7" s="44"/>
      <x:c r="AK7" s="44"/>
      <x:c r="AL7" s="44"/>
      <x:c r="AM7" s="44"/>
      <x:c r="AN7" s="44"/>
      <x:c r="AO7" s="44"/>
      <x:c r="AP7" s="44"/>
      <x:c r="AQ7" s="44"/>
      <x:c r="AR7" s="44"/>
      <x:c r="AS7" s="44"/>
      <x:c r="AT7" s="44"/>
      <x:c r="AU7" s="44"/>
      <x:c r="AV7" s="44"/>
      <x:c r="AW7" s="44"/>
      <x:c r="AX7" s="44"/>
      <x:c r="AY7" s="44"/>
      <x:c r="AZ7" s="44"/>
    </x:row>
    <x:row r="8">
      <x:c r="A8" s="45" t="str">
        <x:v>Thermal pass/fail classification</x:v>
      </x:c>
      <x:c r="B8" s="46" t="str">
        <x:v>5/5 correct</x:v>
      </x:c>
      <x:c r="C8" s="44"/>
      <x:c r="D8" s="45" t="str">
        <x:v>Best low-pump feasible case</x:v>
      </x:c>
      <x:c r="E8" s="47" t="str">
        <x:v>V2: Tmax = 78.831°C at 0.01813 W pumping power.</x:v>
      </x:c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  <x:c r="AA8" s="44"/>
      <x:c r="AB8" s="44"/>
      <x:c r="AC8" s="44"/>
      <x:c r="AD8" s="44"/>
      <x:c r="AE8" s="44"/>
      <x:c r="AF8" s="44"/>
      <x:c r="AG8" s="44"/>
      <x:c r="AH8" s="44"/>
      <x:c r="AI8" s="44"/>
      <x:c r="AJ8" s="44"/>
      <x:c r="AK8" s="44"/>
      <x:c r="AL8" s="44"/>
      <x:c r="AM8" s="44"/>
      <x:c r="AN8" s="44"/>
      <x:c r="AO8" s="44"/>
      <x:c r="AP8" s="44"/>
      <x:c r="AQ8" s="44"/>
      <x:c r="AR8" s="44"/>
      <x:c r="AS8" s="44"/>
      <x:c r="AT8" s="44"/>
      <x:c r="AU8" s="44"/>
      <x:c r="AV8" s="44"/>
      <x:c r="AW8" s="44"/>
      <x:c r="AX8" s="44"/>
      <x:c r="AY8" s="44"/>
      <x:c r="AZ8" s="44"/>
    </x:row>
    <x:row r="9">
      <x:c r="A9" s="45" t="str">
        <x:v>Maximum |Tmax error| (°C)</x:v>
      </x:c>
      <x:c r="B9" s="46" t="n">
        <x:v>0.09942637975504454</x:v>
      </x:c>
      <x:c r="C9" s="44"/>
      <x:c r="D9" s="45" t="str">
        <x:v>Best thermal case</x:v>
      </x:c>
      <x:c r="E9" s="47" t="str">
        <x:v>V4: Tmax = 65.110°C, with 0.04368 W pumping power.</x:v>
      </x:c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  <x:c r="AA9" s="44"/>
      <x:c r="AB9" s="44"/>
      <x:c r="AC9" s="44"/>
      <x:c r="AD9" s="44"/>
      <x:c r="AE9" s="44"/>
      <x:c r="AF9" s="44"/>
      <x:c r="AG9" s="44"/>
      <x:c r="AH9" s="44"/>
      <x:c r="AI9" s="44"/>
      <x:c r="AJ9" s="44"/>
      <x:c r="AK9" s="44"/>
      <x:c r="AL9" s="44"/>
      <x:c r="AM9" s="44"/>
      <x:c r="AN9" s="44"/>
      <x:c r="AO9" s="44"/>
      <x:c r="AP9" s="44"/>
      <x:c r="AQ9" s="44"/>
      <x:c r="AR9" s="44"/>
      <x:c r="AS9" s="44"/>
      <x:c r="AT9" s="44"/>
      <x:c r="AU9" s="44"/>
      <x:c r="AV9" s="44"/>
      <x:c r="AW9" s="44"/>
      <x:c r="AX9" s="44"/>
      <x:c r="AY9" s="44"/>
      <x:c r="AZ9" s="44"/>
    </x:row>
    <x:row r="10">
      <x:c r="A10" s="45" t="str">
        <x:v>Maximum outlet-temperature error (°C)</x:v>
      </x:c>
      <x:c r="B10" s="46" t="n">
        <x:v>0.15725144125072532</x:v>
      </x:c>
      <x:c r="C10" s="44"/>
      <x:c r="D10" s="45" t="str">
        <x:v>TIM influence</x:v>
      </x:c>
      <x:c r="E10" s="47" t="str">
        <x:v>V5 is 39.169°C hotter than V4 despite only 8.1% more pumping power, showing that unfavorable TIM can dominate thermal performance.</x:v>
      </x:c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4"/>
      <x:c r="AL10" s="44"/>
      <x:c r="AM10" s="44"/>
      <x:c r="AN10" s="44"/>
      <x:c r="AO10" s="44"/>
      <x:c r="AP10" s="44"/>
      <x:c r="AQ10" s="44"/>
      <x:c r="AR10" s="44"/>
      <x:c r="AS10" s="44"/>
      <x:c r="AT10" s="44"/>
      <x:c r="AU10" s="44"/>
      <x:c r="AV10" s="44"/>
      <x:c r="AW10" s="44"/>
      <x:c r="AX10" s="44"/>
      <x:c r="AY10" s="44"/>
      <x:c r="AZ10" s="44"/>
    </x:row>
    <x:row r="11">
      <x:c r="A11" s="45" t="str">
        <x:v>Maximum pressure-drop error (%)</x:v>
      </x:c>
      <x:c r="B11" s="46" t="n">
        <x:v>0.13516800154353928</x:v>
      </x:c>
      <x:c r="C11" s="44"/>
      <x:c r="D11" s="45" t="str">
        <x:v>Model robustness</x:v>
      </x:c>
      <x:c r="E11" s="47" t="str">
        <x:v>R² is at least 0.9973 across all five predicted outputs.</x:v>
      </x:c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4"/>
      <x:c r="AL11" s="44"/>
      <x:c r="AM11" s="44"/>
      <x:c r="AN11" s="44"/>
      <x:c r="AO11" s="44"/>
      <x:c r="AP11" s="44"/>
      <x:c r="AQ11" s="44"/>
      <x:c r="AR11" s="44"/>
      <x:c r="AS11" s="44"/>
      <x:c r="AT11" s="44"/>
      <x:c r="AU11" s="44"/>
      <x:c r="AV11" s="44"/>
      <x:c r="AW11" s="44"/>
      <x:c r="AX11" s="44"/>
      <x:c r="AY11" s="44"/>
      <x:c r="AZ11" s="44"/>
    </x:row>
    <x:row r="12">
      <x:c r="A12" s="45" t="str">
        <x:v>Maximum pumping-power error (%)</x:v>
      </x:c>
      <x:c r="B12" s="46" t="n">
        <x:v>0.1351680015435418</x:v>
      </x:c>
      <x:c r="C12" s="44"/>
      <x:c r="D12" s="45" t="str">
        <x:v>Quality control</x:v>
      </x:c>
      <x:c r="E12" s="47" t="str">
        <x:v>Flow labels are essentially exact and inlet/outlet flow imbalance stays below 0.361%.</x:v>
      </x:c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4"/>
      <x:c r="AL12" s="44"/>
      <x:c r="AM12" s="44"/>
      <x:c r="AN12" s="44"/>
      <x:c r="AO12" s="44"/>
      <x:c r="AP12" s="44"/>
      <x:c r="AQ12" s="44"/>
      <x:c r="AR12" s="44"/>
      <x:c r="AS12" s="44"/>
      <x:c r="AT12" s="44"/>
      <x:c r="AU12" s="44"/>
      <x:c r="AV12" s="44"/>
      <x:c r="AW12" s="44"/>
      <x:c r="AX12" s="44"/>
      <x:c r="AY12" s="44"/>
      <x:c r="AZ12" s="44"/>
    </x:row>
    <x:row r="13">
      <x:c r="A13" s="45" t="str">
        <x:v>Maximum flow-label error (%)</x:v>
      </x:c>
      <x:c r="B13" s="46" t="n">
        <x:v>0.00016864663499038812</x:v>
      </x:c>
      <x:c r="C13" s="44"/>
      <x:c r="D13" s="45" t="str">
        <x:v>Constraint classification</x:v>
      </x:c>
      <x:c r="E13" s="47" t="str">
        <x:v>V1 and V5 correctly predicted as FAIL; V2, V3, and V4 correctly predicted as PASS.</x:v>
      </x:c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  <x:c r="AR13" s="44"/>
      <x:c r="AS13" s="44"/>
      <x:c r="AT13" s="44"/>
      <x:c r="AU13" s="44"/>
      <x:c r="AV13" s="44"/>
      <x:c r="AW13" s="44"/>
      <x:c r="AX13" s="44"/>
      <x:c r="AY13" s="44"/>
      <x:c r="AZ13" s="44"/>
    </x:row>
    <x:row r="14">
      <x:c r="A14" s="45" t="str">
        <x:v>Maximum inlet/outlet flow imbalance (%)</x:v>
      </x:c>
      <x:c r="B14" s="46" t="n">
        <x:v>0.36070616497116037</x:v>
      </x:c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4"/>
      <x:c r="AL14" s="44"/>
      <x:c r="AM14" s="44"/>
      <x:c r="AN14" s="44"/>
      <x:c r="AO14" s="44"/>
      <x:c r="AP14" s="44"/>
      <x:c r="AQ14" s="44"/>
      <x:c r="AR14" s="44"/>
      <x:c r="AS14" s="44"/>
      <x:c r="AT14" s="44"/>
      <x:c r="AU14" s="44"/>
      <x:c r="AV14" s="44"/>
      <x:c r="AW14" s="44"/>
      <x:c r="AX14" s="44"/>
      <x:c r="AY14" s="44"/>
      <x:c r="A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4"/>
      <x:c r="AL15" s="44"/>
      <x:c r="AM15" s="44"/>
      <x:c r="AN15" s="44"/>
      <x:c r="AO15" s="44"/>
      <x:c r="AP15" s="44"/>
      <x:c r="AQ15" s="44"/>
      <x:c r="AR15" s="44"/>
      <x:c r="AS15" s="44"/>
      <x:c r="AT15" s="44"/>
      <x:c r="AU15" s="44"/>
      <x:c r="AV15" s="44"/>
      <x:c r="AW15" s="44"/>
      <x:c r="AX15" s="44"/>
      <x:c r="AY15" s="44"/>
      <x:c r="A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4"/>
      <x:c r="AL16" s="44"/>
      <x:c r="AM16" s="44"/>
      <x:c r="AN16" s="44"/>
      <x:c r="AO16" s="44"/>
      <x:c r="AP16" s="44"/>
      <x:c r="AQ16" s="44"/>
      <x:c r="AR16" s="44"/>
      <x:c r="AS16" s="44"/>
      <x:c r="AT16" s="44"/>
      <x:c r="AU16" s="44"/>
      <x:c r="AV16" s="44"/>
      <x:c r="AW16" s="44"/>
      <x:c r="AX16" s="44"/>
      <x:c r="AY16" s="44"/>
      <x:c r="AZ16" s="44"/>
    </x:row>
    <x:row r="17">
      <x:c r="A17" s="13" t="str">
        <x:v>Aggregate model-performance metrics</x:v>
      </x:c>
      <x:c r="B17" s="13"/>
      <x:c r="C17" s="13"/>
      <x:c r="D17" s="13"/>
      <x:c r="E17" s="13"/>
      <x:c r="F17" s="13"/>
      <x:c r="G17" s="13"/>
      <x:c r="H17" s="13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/>
      <x:c r="AN17" s="44"/>
      <x:c r="AO17" s="44"/>
      <x:c r="AP17" s="44"/>
      <x:c r="AQ17" s="44"/>
      <x:c r="AR17" s="44"/>
      <x:c r="AS17" s="44"/>
      <x:c r="AT17" s="44"/>
      <x:c r="AU17" s="44"/>
      <x:c r="AV17" s="44"/>
      <x:c r="AW17" s="44"/>
      <x:c r="AX17" s="44"/>
      <x:c r="AY17" s="44"/>
      <x:c r="AZ17" s="44"/>
    </x:row>
    <x:row r="18">
      <x:c r="A18" s="22" t="str">
        <x:v>Parameter</x:v>
      </x:c>
      <x:c r="B18" s="22" t="str">
        <x:v>MAE</x:v>
      </x:c>
      <x:c r="C18" s="22" t="str">
        <x:v>RMSE</x:v>
      </x:c>
      <x:c r="D18" s="22" t="str">
        <x:v>MAPE (%)</x:v>
      </x:c>
      <x:c r="E18" s="22" t="str">
        <x:v>Max abs. error</x:v>
      </x:c>
      <x:c r="F18" s="22" t="str">
        <x:v>R²</x:v>
      </x:c>
      <x:c r="G18" s="22" t="str">
        <x:v>Criterion</x:v>
      </x:c>
      <x:c r="H18" s="22" t="str">
        <x:v>Status</x:v>
      </x:c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4"/>
      <x:c r="AL18" s="44"/>
      <x:c r="AM18" s="44"/>
      <x:c r="AN18" s="44"/>
      <x:c r="AO18" s="44"/>
      <x:c r="AP18" s="44"/>
      <x:c r="AQ18" s="44"/>
      <x:c r="AR18" s="44"/>
      <x:c r="AS18" s="44"/>
      <x:c r="AT18" s="44"/>
      <x:c r="AU18" s="44"/>
      <x:c r="AV18" s="44"/>
      <x:c r="AW18" s="44"/>
      <x:c r="AX18" s="44"/>
      <x:c r="AY18" s="44"/>
      <x:c r="AZ18" s="44"/>
    </x:row>
    <x:row r="19">
      <x:c r="A19" s="44" t="str">
        <x:v>Maximum chip temperature</x:v>
      </x:c>
      <x:c r="B19" s="48" t="n">
        <x:v>0.05066101008551129</x:v>
      </x:c>
      <x:c r="C19" s="48" t="n">
        <x:v>0.05735867000064249</x:v>
      </x:c>
      <x:c r="D19" s="46" t="n">
        <x:v>0.05268083079518927</x:v>
      </x:c>
      <x:c r="E19" s="48" t="n">
        <x:v>0.09942637975504454</x:v>
      </x:c>
      <x:c r="F19" s="48" t="n">
        <x:v>0.9999939495831511</x:v>
      </x:c>
      <x:c r="G19" s="47" t="str">
        <x:v>Max absolute error ≤ 2 °C</x:v>
      </x:c>
      <x:c r="H19" s="44" t="str">
        <x:v>PASS</x:v>
      </x:c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4"/>
      <x:c r="AL19" s="44"/>
      <x:c r="AM19" s="44"/>
      <x:c r="AN19" s="44"/>
      <x:c r="AO19" s="44"/>
      <x:c r="AP19" s="44"/>
      <x:c r="AQ19" s="44"/>
      <x:c r="AR19" s="44"/>
      <x:c r="AS19" s="44"/>
      <x:c r="AT19" s="44"/>
      <x:c r="AU19" s="44"/>
      <x:c r="AV19" s="44"/>
      <x:c r="AW19" s="44"/>
      <x:c r="AX19" s="44"/>
      <x:c r="AY19" s="44"/>
      <x:c r="AZ19" s="44"/>
    </x:row>
    <x:row r="20">
      <x:c r="A20" s="44" t="str">
        <x:v>System thermal resistance</x:v>
      </x:c>
      <x:c r="B20" s="48" t="n">
        <x:v>0.0005066101008551315</x:v>
      </x:c>
      <x:c r="C20" s="48" t="n">
        <x:v>0.0005735867000064314</x:v>
      </x:c>
      <x:c r="D20" s="46" t="n">
        <x:v>0.07355463154175496</x:v>
      </x:c>
      <x:c r="E20" s="48" t="n">
        <x:v>0.0009942637975504098</x:v>
      </x:c>
      <x:c r="F20" s="48" t="n">
        <x:v>0.9999939495831511</x:v>
      </x:c>
      <x:c r="G20" s="47" t="str">
        <x:v>MAPE ≤ 5%</x:v>
      </x:c>
      <x:c r="H20" s="44" t="str">
        <x:v>PASS</x:v>
      </x:c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  <x:c r="AR20" s="44"/>
      <x:c r="AS20" s="44"/>
      <x:c r="AT20" s="44"/>
      <x:c r="AU20" s="44"/>
      <x:c r="AV20" s="44"/>
      <x:c r="AW20" s="44"/>
      <x:c r="AX20" s="44"/>
      <x:c r="AY20" s="44"/>
      <x:c r="AZ20" s="44"/>
    </x:row>
    <x:row r="21">
      <x:c r="A21" s="44" t="str">
        <x:v>Mass-weighted outlet temperature</x:v>
      </x:c>
      <x:c r="B21" s="48" t="n">
        <x:v>0.1266422804701534</x:v>
      </x:c>
      <x:c r="C21" s="48" t="n">
        <x:v>0.13128694835996063</x:v>
      </x:c>
      <x:c r="D21" s="46" t="n">
        <x:v>0.39502549113540836</x:v>
      </x:c>
      <x:c r="E21" s="48" t="n">
        <x:v>0.15725144125072532</x:v>
      </x:c>
      <x:c r="F21" s="48" t="n">
        <x:v>0.997317964539633</x:v>
      </x:c>
      <x:c r="G21" s="47" t="str">
        <x:v>Max absolute error ≤ 0.5 °C</x:v>
      </x:c>
      <x:c r="H21" s="44" t="str">
        <x:v>PASS</x:v>
      </x:c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4"/>
      <x:c r="AL21" s="44"/>
      <x:c r="AM21" s="44"/>
      <x:c r="AN21" s="44"/>
      <x:c r="AO21" s="44"/>
      <x:c r="AP21" s="44"/>
      <x:c r="AQ21" s="44"/>
      <x:c r="AR21" s="44"/>
      <x:c r="AS21" s="44"/>
      <x:c r="AT21" s="44"/>
      <x:c r="AU21" s="44"/>
      <x:c r="AV21" s="44"/>
      <x:c r="AW21" s="44"/>
      <x:c r="AX21" s="44"/>
      <x:c r="AY21" s="44"/>
      <x:c r="AZ21" s="44"/>
    </x:row>
    <x:row r="22">
      <x:c r="A22" s="44" t="str">
        <x:v>Pressure drop</x:v>
      </x:c>
      <x:c r="B22" s="48" t="n">
        <x:v>2.7943329425997945</x:v>
      </x:c>
      <x:c r="C22" s="48" t="n">
        <x:v>3.367598837356136</x:v>
      </x:c>
      <x:c r="D22" s="46" t="n">
        <x:v>0.046623617352378396</x:v>
      </x:c>
      <x:c r="E22" s="48" t="n">
        <x:v>5.011511254118886</x:v>
      </x:c>
      <x:c r="F22" s="48" t="n">
        <x:v>0.9999980115153418</x:v>
      </x:c>
      <x:c r="G22" s="47" t="str">
        <x:v>MAPE ≤ 5%</x:v>
      </x:c>
      <x:c r="H22" s="44" t="str">
        <x:v>PASS</x:v>
      </x:c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4"/>
      <x:c r="AL22" s="44"/>
      <x:c r="AM22" s="44"/>
      <x:c r="AN22" s="44"/>
      <x:c r="AO22" s="44"/>
      <x:c r="AP22" s="44"/>
      <x:c r="AQ22" s="44"/>
      <x:c r="AR22" s="44"/>
      <x:c r="AS22" s="44"/>
      <x:c r="AT22" s="44"/>
      <x:c r="AU22" s="44"/>
      <x:c r="AV22" s="44"/>
      <x:c r="AW22" s="44"/>
      <x:c r="AX22" s="44"/>
      <x:c r="AY22" s="44"/>
      <x:c r="AZ22" s="44"/>
    </x:row>
    <x:row r="23">
      <x:c r="A23" s="44" t="str">
        <x:v>Pumping power</x:v>
      </x:c>
      <x:c r="B23" s="48" t="n">
        <x:v>0.000009740769499091625</x:v>
      </x:c>
      <x:c r="C23" s="48" t="n">
        <x:v>0.000011933035408572476</x:v>
      </x:c>
      <x:c r="D23" s="46" t="n">
        <x:v>0.04662361735237581</x:v>
      </x:c>
      <x:c r="E23" s="48" t="n">
        <x:v>0.00002186766324725059</x:v>
      </x:c>
      <x:c r="F23" s="48" t="n">
        <x:v>0.99999937166757</x:v>
      </x:c>
      <x:c r="G23" s="47" t="str">
        <x:v>MAPE ≤ 5%</x:v>
      </x:c>
      <x:c r="H23" s="44" t="str">
        <x:v>PASS</x:v>
      </x:c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4"/>
      <x:c r="AL23" s="44"/>
      <x:c r="AM23" s="44"/>
      <x:c r="AN23" s="44"/>
      <x:c r="AO23" s="44"/>
      <x:c r="AP23" s="44"/>
      <x:c r="AQ23" s="44"/>
      <x:c r="AR23" s="44"/>
      <x:c r="AS23" s="44"/>
      <x:c r="AT23" s="44"/>
      <x:c r="AU23" s="44"/>
      <x:c r="AV23" s="44"/>
      <x:c r="AW23" s="44"/>
      <x:c r="AX23" s="44"/>
      <x:c r="AY23" s="44"/>
      <x:c r="A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4"/>
      <x:c r="AL25" s="44"/>
      <x:c r="AM25" s="44"/>
      <x:c r="AN25" s="44"/>
      <x:c r="AO25" s="44"/>
      <x:c r="AP25" s="44"/>
      <x:c r="AQ25" s="44"/>
      <x:c r="AR25" s="44"/>
      <x:c r="AS25" s="44"/>
      <x:c r="AT25" s="44"/>
      <x:c r="AU25" s="44"/>
      <x:c r="AV25" s="44"/>
      <x:c r="AW25" s="44"/>
      <x:c r="AX25" s="44"/>
      <x:c r="AY25" s="44"/>
      <x:c r="A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4"/>
      <x:c r="AL26" s="44"/>
      <x:c r="AM26" s="44"/>
      <x:c r="AN26" s="44"/>
      <x:c r="AO26" s="44"/>
      <x:c r="AP26" s="44"/>
      <x:c r="AQ26" s="44"/>
      <x:c r="AR26" s="44"/>
      <x:c r="AS26" s="44"/>
      <x:c r="AT26" s="44"/>
      <x:c r="AU26" s="44"/>
      <x:c r="AV26" s="44"/>
      <x:c r="AW26" s="44"/>
      <x:c r="AX26" s="44"/>
      <x:c r="AY26" s="44"/>
      <x:c r="A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/>
      <x:c r="AT27" s="44"/>
      <x:c r="AU27" s="44"/>
      <x:c r="AV27" s="44"/>
      <x:c r="AW27" s="44"/>
      <x:c r="AX27" s="44"/>
      <x:c r="AY27" s="44"/>
      <x:c r="A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/>
      <x:c r="AT28" s="44"/>
      <x:c r="AU28" s="44"/>
      <x:c r="AV28" s="44"/>
      <x:c r="AW28" s="44"/>
      <x:c r="AX28" s="44"/>
      <x:c r="AY28" s="44"/>
      <x:c r="A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4"/>
      <x:c r="AL32" s="44"/>
      <x:c r="AM32" s="44"/>
      <x:c r="AN32" s="44"/>
      <x:c r="AO32" s="44"/>
      <x:c r="AP32" s="44"/>
      <x:c r="AQ32" s="44"/>
      <x:c r="AR32" s="44"/>
      <x:c r="AS32" s="44"/>
      <x:c r="AT32" s="44"/>
      <x:c r="AU32" s="44"/>
      <x:c r="AV32" s="44"/>
      <x:c r="AW32" s="44"/>
      <x:c r="AX32" s="44"/>
      <x:c r="AY32" s="44"/>
      <x:c r="A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4"/>
      <x:c r="AL33" s="44"/>
      <x:c r="AM33" s="44"/>
      <x:c r="AN33" s="44"/>
      <x:c r="AO33" s="44"/>
      <x:c r="AP33" s="44"/>
      <x:c r="AQ33" s="44"/>
      <x:c r="AR33" s="44"/>
      <x:c r="AS33" s="44"/>
      <x:c r="AT33" s="44"/>
      <x:c r="AU33" s="44"/>
      <x:c r="AV33" s="44"/>
      <x:c r="AW33" s="44"/>
      <x:c r="AX33" s="44"/>
      <x:c r="AY33" s="44"/>
      <x:c r="A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4"/>
      <x:c r="AL34" s="44"/>
      <x:c r="AM34" s="44"/>
      <x:c r="AN34" s="44"/>
      <x:c r="AO34" s="44"/>
      <x:c r="AP34" s="44"/>
      <x:c r="AQ34" s="44"/>
      <x:c r="AR34" s="44"/>
      <x:c r="AS34" s="44"/>
      <x:c r="AT34" s="44"/>
      <x:c r="AU34" s="44"/>
      <x:c r="AV34" s="44"/>
      <x:c r="AW34" s="44"/>
      <x:c r="AX34" s="44"/>
      <x:c r="AY34" s="44"/>
      <x:c r="A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4"/>
      <x:c r="AL35" s="44"/>
      <x:c r="AM35" s="44"/>
      <x:c r="AN35" s="44"/>
      <x:c r="AO35" s="44"/>
      <x:c r="AP35" s="44"/>
      <x:c r="AQ35" s="44"/>
      <x:c r="AR35" s="44"/>
      <x:c r="AS35" s="44"/>
      <x:c r="AT35" s="44"/>
      <x:c r="AU35" s="44"/>
      <x:c r="AV35" s="44"/>
      <x:c r="AW35" s="44"/>
      <x:c r="AX35" s="44"/>
      <x:c r="AY35" s="44"/>
      <x:c r="A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4"/>
      <x:c r="AL36" s="44"/>
      <x:c r="AM36" s="44"/>
      <x:c r="AN36" s="44"/>
      <x:c r="AO36" s="44"/>
      <x:c r="AP36" s="44"/>
      <x:c r="AQ36" s="44"/>
      <x:c r="AR36" s="44"/>
      <x:c r="AS36" s="44"/>
      <x:c r="AT36" s="44"/>
      <x:c r="AU36" s="44"/>
      <x:c r="AV36" s="44"/>
      <x:c r="AW36" s="44"/>
      <x:c r="AX36" s="44"/>
      <x:c r="AY36" s="44"/>
      <x:c r="A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4"/>
      <x:c r="AL37" s="44"/>
      <x:c r="AM37" s="44"/>
      <x:c r="AN37" s="44"/>
      <x:c r="AO37" s="44"/>
      <x:c r="AP37" s="44"/>
      <x:c r="AQ37" s="44"/>
      <x:c r="AR37" s="44"/>
      <x:c r="AS37" s="44"/>
      <x:c r="AT37" s="44"/>
      <x:c r="AU37" s="44"/>
      <x:c r="AV37" s="44"/>
      <x:c r="AW37" s="44"/>
      <x:c r="AX37" s="44"/>
      <x:c r="AY37" s="44"/>
      <x:c r="A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4"/>
      <x:c r="AL38" s="44"/>
      <x:c r="AM38" s="44"/>
      <x:c r="AN38" s="44"/>
      <x:c r="AO38" s="44"/>
      <x:c r="AP38" s="44"/>
      <x:c r="AQ38" s="44"/>
      <x:c r="AR38" s="44"/>
      <x:c r="AS38" s="44"/>
      <x:c r="AT38" s="44"/>
      <x:c r="AU38" s="44"/>
      <x:c r="AV38" s="44"/>
      <x:c r="AW38" s="44"/>
      <x:c r="AX38" s="44"/>
      <x:c r="AY38" s="44"/>
      <x:c r="A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4"/>
      <x:c r="AL39" s="44"/>
      <x:c r="AM39" s="44"/>
      <x:c r="AN39" s="44"/>
      <x:c r="AO39" s="44"/>
      <x:c r="AP39" s="44"/>
      <x:c r="AQ39" s="44"/>
      <x:c r="AR39" s="44"/>
      <x:c r="AS39" s="44"/>
      <x:c r="AT39" s="44"/>
      <x:c r="AU39" s="44"/>
      <x:c r="AV39" s="44"/>
      <x:c r="AW39" s="44"/>
      <x:c r="AX39" s="44"/>
      <x:c r="AY39" s="44"/>
      <x:c r="A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4"/>
      <x:c r="AL40" s="44"/>
      <x:c r="AM40" s="44"/>
      <x:c r="AN40" s="44"/>
      <x:c r="AO40" s="44"/>
      <x:c r="AP40" s="44"/>
      <x:c r="AQ40" s="44"/>
      <x:c r="AR40" s="44"/>
      <x:c r="AS40" s="44"/>
      <x:c r="AT40" s="44"/>
      <x:c r="AU40" s="44"/>
      <x:c r="AV40" s="44"/>
      <x:c r="AW40" s="44"/>
      <x:c r="AX40" s="44"/>
      <x:c r="AY40" s="44"/>
      <x:c r="A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/>
      <x:c r="AM41" s="44"/>
      <x:c r="AN41" s="44"/>
      <x:c r="AO41" s="44"/>
      <x:c r="AP41" s="44"/>
      <x:c r="AQ41" s="44"/>
      <x:c r="AR41" s="44"/>
      <x:c r="AS41" s="44"/>
      <x:c r="AT41" s="44"/>
      <x:c r="AU41" s="44"/>
      <x:c r="AV41" s="44"/>
      <x:c r="AW41" s="44"/>
      <x:c r="AX41" s="44"/>
      <x:c r="AY41" s="44"/>
      <x:c r="A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4"/>
      <x:c r="AL42" s="44"/>
      <x:c r="AM42" s="44"/>
      <x:c r="AN42" s="44"/>
      <x:c r="AO42" s="44"/>
      <x:c r="AP42" s="44"/>
      <x:c r="AQ42" s="44"/>
      <x:c r="AR42" s="44"/>
      <x:c r="AS42" s="44"/>
      <x:c r="AT42" s="44"/>
      <x:c r="AU42" s="44"/>
      <x:c r="AV42" s="44"/>
      <x:c r="AW42" s="44"/>
      <x:c r="AX42" s="44"/>
      <x:c r="AY42" s="44"/>
      <x:c r="A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4"/>
      <x:c r="AL43" s="44"/>
      <x:c r="AM43" s="44"/>
      <x:c r="AN43" s="44"/>
      <x:c r="AO43" s="44"/>
      <x:c r="AP43" s="44"/>
      <x:c r="AQ43" s="44"/>
      <x:c r="AR43" s="44"/>
      <x:c r="AS43" s="44"/>
      <x:c r="AT43" s="44"/>
      <x:c r="AU43" s="44"/>
      <x:c r="AV43" s="44"/>
      <x:c r="AW43" s="44"/>
      <x:c r="AX43" s="44"/>
      <x:c r="AY43" s="44"/>
      <x:c r="A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4"/>
      <x:c r="AL44" s="44"/>
      <x:c r="AM44" s="44"/>
      <x:c r="AN44" s="44"/>
      <x:c r="AO44" s="44"/>
      <x:c r="AP44" s="44"/>
      <x:c r="AQ44" s="44"/>
      <x:c r="AR44" s="44"/>
      <x:c r="AS44" s="44"/>
      <x:c r="AT44" s="44"/>
      <x:c r="AU44" s="44"/>
      <x:c r="AV44" s="44"/>
      <x:c r="AW44" s="44"/>
      <x:c r="AX44" s="44"/>
      <x:c r="AY44" s="44"/>
      <x:c r="A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4"/>
      <x:c r="AL45" s="44"/>
      <x:c r="AM45" s="44"/>
      <x:c r="AN45" s="44"/>
      <x:c r="AO45" s="44"/>
      <x:c r="AP45" s="44"/>
      <x:c r="AQ45" s="44"/>
      <x:c r="AR45" s="44"/>
      <x:c r="AS45" s="44"/>
      <x:c r="AT45" s="44"/>
      <x:c r="AU45" s="44"/>
      <x:c r="AV45" s="44"/>
      <x:c r="AW45" s="44"/>
      <x:c r="AX45" s="44"/>
      <x:c r="AY45" s="44"/>
      <x:c r="A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4"/>
      <x:c r="AL47" s="44"/>
      <x:c r="AM47" s="44"/>
      <x:c r="AN47" s="44"/>
      <x:c r="AO47" s="44"/>
      <x:c r="AP47" s="44"/>
      <x:c r="AQ47" s="44"/>
      <x:c r="AR47" s="44"/>
      <x:c r="AS47" s="44"/>
      <x:c r="AT47" s="44"/>
      <x:c r="AU47" s="44"/>
      <x:c r="AV47" s="44"/>
      <x:c r="AW47" s="44"/>
      <x:c r="AX47" s="44"/>
      <x:c r="AY47" s="44"/>
      <x:c r="A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4"/>
      <x:c r="AL48" s="44"/>
      <x:c r="AM48" s="44"/>
      <x:c r="AN48" s="44"/>
      <x:c r="AO48" s="44"/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4"/>
      <x:c r="AL49" s="44"/>
      <x:c r="AM49" s="44"/>
      <x:c r="AN49" s="44"/>
      <x:c r="AO49" s="44"/>
      <x:c r="AP49" s="44"/>
      <x:c r="AQ49" s="44"/>
      <x:c r="AR49" s="44"/>
      <x:c r="AS49" s="44"/>
      <x:c r="AT49" s="44"/>
      <x:c r="AU49" s="44"/>
      <x:c r="AV49" s="44"/>
      <x:c r="AW49" s="44"/>
      <x:c r="AX49" s="44"/>
      <x:c r="AY49" s="44"/>
      <x:c r="A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4"/>
      <x:c r="AL50" s="44"/>
      <x:c r="AM50" s="44"/>
      <x:c r="AN50" s="44"/>
      <x:c r="AO50" s="44"/>
      <x:c r="AP50" s="44"/>
      <x:c r="AQ50" s="44"/>
      <x:c r="AR50" s="44"/>
      <x:c r="AS50" s="44"/>
      <x:c r="AT50" s="44"/>
      <x:c r="AU50" s="44"/>
      <x:c r="AV50" s="44"/>
      <x:c r="AW50" s="44"/>
      <x:c r="AX50" s="44"/>
      <x:c r="AY50" s="44"/>
      <x:c r="A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4"/>
      <x:c r="AL51" s="44"/>
      <x:c r="AM51" s="44"/>
      <x:c r="AN51" s="44"/>
      <x:c r="AO51" s="44"/>
      <x:c r="AP51" s="44"/>
      <x:c r="AQ51" s="44"/>
      <x:c r="AR51" s="44"/>
      <x:c r="AS51" s="44"/>
      <x:c r="AT51" s="44"/>
      <x:c r="AU51" s="44"/>
      <x:c r="AV51" s="44"/>
      <x:c r="AW51" s="44"/>
      <x:c r="AX51" s="44"/>
      <x:c r="AY51" s="44"/>
      <x:c r="A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4"/>
      <x:c r="AL52" s="44"/>
      <x:c r="AM52" s="44"/>
      <x:c r="AN52" s="44"/>
      <x:c r="AO52" s="44"/>
      <x:c r="AP52" s="44"/>
      <x:c r="AQ52" s="44"/>
      <x:c r="AR52" s="44"/>
      <x:c r="AS52" s="44"/>
      <x:c r="AT52" s="44"/>
      <x:c r="AU52" s="44"/>
      <x:c r="AV52" s="44"/>
      <x:c r="AW52" s="44"/>
      <x:c r="AX52" s="44"/>
      <x:c r="AY52" s="44"/>
      <x:c r="A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4"/>
      <x:c r="AL53" s="44"/>
      <x:c r="AM53" s="44"/>
      <x:c r="AN53" s="44"/>
      <x:c r="AO53" s="44"/>
      <x:c r="AP53" s="44"/>
      <x:c r="AQ53" s="44"/>
      <x:c r="AR53" s="44"/>
      <x:c r="AS53" s="44"/>
      <x:c r="AT53" s="44"/>
      <x:c r="AU53" s="44"/>
      <x:c r="AV53" s="44"/>
      <x:c r="AW53" s="44"/>
      <x:c r="AX53" s="44"/>
      <x:c r="AY53" s="44"/>
      <x:c r="A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4"/>
      <x:c r="AL54" s="44"/>
      <x:c r="AM54" s="44"/>
      <x:c r="AN54" s="44"/>
      <x:c r="AO54" s="44"/>
      <x:c r="AP54" s="44"/>
      <x:c r="AQ54" s="44"/>
      <x:c r="AR54" s="44"/>
      <x:c r="AS54" s="44"/>
      <x:c r="AT54" s="44"/>
      <x:c r="AU54" s="44"/>
      <x:c r="AV54" s="44"/>
      <x:c r="AW54" s="44"/>
      <x:c r="AX54" s="44"/>
      <x:c r="AY54" s="44"/>
      <x:c r="A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4"/>
      <x:c r="AL55" s="44"/>
      <x:c r="AM55" s="44"/>
      <x:c r="AN55" s="44"/>
      <x:c r="AO55" s="44"/>
      <x:c r="AP55" s="44"/>
      <x:c r="AQ55" s="44"/>
      <x:c r="AR55" s="44"/>
      <x:c r="AS55" s="44"/>
      <x:c r="AT55" s="44"/>
      <x:c r="AU55" s="44"/>
      <x:c r="AV55" s="44"/>
      <x:c r="AW55" s="44"/>
      <x:c r="AX55" s="44"/>
      <x:c r="AY55" s="44"/>
      <x:c r="A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4"/>
      <x:c r="AL56" s="44"/>
      <x:c r="AM56" s="44"/>
      <x:c r="AN56" s="44"/>
      <x:c r="AO56" s="44"/>
      <x:c r="AP56" s="44"/>
      <x:c r="AQ56" s="44"/>
      <x:c r="AR56" s="44"/>
      <x:c r="AS56" s="44"/>
      <x:c r="AT56" s="44"/>
      <x:c r="AU56" s="44"/>
      <x:c r="AV56" s="44"/>
      <x:c r="AW56" s="44"/>
      <x:c r="AX56" s="44"/>
      <x:c r="AY56" s="44"/>
      <x:c r="A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4"/>
      <x:c r="AL57" s="44"/>
      <x:c r="AM57" s="44"/>
      <x:c r="AN57" s="44"/>
      <x:c r="AO57" s="44"/>
      <x:c r="AP57" s="44"/>
      <x:c r="AQ57" s="44"/>
      <x:c r="AR57" s="44"/>
      <x:c r="AS57" s="44"/>
      <x:c r="AT57" s="44"/>
      <x:c r="AU57" s="44"/>
      <x:c r="AV57" s="44"/>
      <x:c r="AW57" s="44"/>
      <x:c r="AX57" s="44"/>
      <x:c r="AY57" s="44"/>
      <x:c r="A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4"/>
      <x:c r="AL58" s="44"/>
      <x:c r="AM58" s="44"/>
      <x:c r="AN58" s="44"/>
      <x:c r="AO58" s="44"/>
      <x:c r="AP58" s="44"/>
      <x:c r="AQ58" s="44"/>
      <x:c r="AR58" s="44"/>
      <x:c r="AS58" s="44"/>
      <x:c r="AT58" s="44"/>
      <x:c r="AU58" s="44"/>
      <x:c r="AV58" s="44"/>
      <x:c r="AW58" s="44"/>
      <x:c r="AX58" s="44"/>
      <x:c r="AY58" s="44"/>
      <x:c r="A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4"/>
      <x:c r="AL59" s="44"/>
      <x:c r="AM59" s="44"/>
      <x:c r="AN59" s="44"/>
      <x:c r="AO59" s="44"/>
      <x:c r="AP59" s="44"/>
      <x:c r="AQ59" s="44"/>
      <x:c r="AR59" s="44"/>
      <x:c r="AS59" s="44"/>
      <x:c r="AT59" s="44"/>
      <x:c r="AU59" s="44"/>
      <x:c r="AV59" s="44"/>
      <x:c r="AW59" s="44"/>
      <x:c r="AX59" s="44"/>
      <x:c r="AY59" s="44"/>
      <x:c r="A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4"/>
      <x:c r="AL60" s="44"/>
      <x:c r="AM60" s="44"/>
      <x:c r="AN60" s="44"/>
      <x:c r="AO60" s="44"/>
      <x:c r="AP60" s="44"/>
      <x:c r="AQ60" s="44"/>
      <x:c r="AR60" s="44"/>
      <x:c r="AS60" s="44"/>
      <x:c r="AT60" s="44"/>
      <x:c r="AU60" s="44"/>
      <x:c r="AV60" s="44"/>
      <x:c r="AW60" s="44"/>
      <x:c r="AX60" s="44"/>
      <x:c r="AY60" s="44"/>
      <x:c r="A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4"/>
      <x:c r="AL61" s="44"/>
      <x:c r="AM61" s="44"/>
      <x:c r="AN61" s="44"/>
      <x:c r="AO61" s="44"/>
      <x:c r="AP61" s="44"/>
      <x:c r="AQ61" s="44"/>
      <x:c r="AR61" s="44"/>
      <x:c r="AS61" s="44"/>
      <x:c r="AT61" s="44"/>
      <x:c r="AU61" s="44"/>
      <x:c r="AV61" s="44"/>
      <x:c r="AW61" s="44"/>
      <x:c r="AX61" s="44"/>
      <x:c r="AY61" s="44"/>
      <x:c r="A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4"/>
      <x:c r="AL62" s="44"/>
      <x:c r="AM62" s="44"/>
      <x:c r="AN62" s="44"/>
      <x:c r="AO62" s="44"/>
      <x:c r="AP62" s="44"/>
      <x:c r="AQ62" s="44"/>
      <x:c r="AR62" s="44"/>
      <x:c r="AS62" s="44"/>
      <x:c r="AT62" s="44"/>
      <x:c r="AU62" s="44"/>
      <x:c r="AV62" s="44"/>
      <x:c r="AW62" s="44"/>
      <x:c r="AX62" s="44"/>
      <x:c r="AY62" s="44"/>
      <x:c r="A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4"/>
      <x:c r="AL63" s="44"/>
      <x:c r="AM63" s="44"/>
      <x:c r="AN63" s="44"/>
      <x:c r="AO63" s="44"/>
      <x:c r="AP63" s="44"/>
      <x:c r="AQ63" s="44"/>
      <x:c r="AR63" s="44"/>
      <x:c r="AS63" s="44"/>
      <x:c r="AT63" s="44"/>
      <x:c r="AU63" s="44"/>
      <x:c r="AV63" s="44"/>
      <x:c r="AW63" s="44"/>
      <x:c r="AX63" s="44"/>
      <x:c r="AY63" s="44"/>
      <x:c r="A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4"/>
      <x:c r="AL64" s="44"/>
      <x:c r="AM64" s="44"/>
      <x:c r="AN64" s="44"/>
      <x:c r="AO64" s="44"/>
      <x:c r="AP64" s="44"/>
      <x:c r="AQ64" s="44"/>
      <x:c r="AR64" s="44"/>
      <x:c r="AS64" s="44"/>
      <x:c r="AT64" s="44"/>
      <x:c r="AU64" s="44"/>
      <x:c r="AV64" s="44"/>
      <x:c r="AW64" s="44"/>
      <x:c r="AX64" s="44"/>
      <x:c r="AY64" s="44"/>
      <x:c r="A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4"/>
      <x:c r="AL65" s="44"/>
      <x:c r="AM65" s="44"/>
      <x:c r="AN65" s="44"/>
      <x:c r="AO65" s="44"/>
      <x:c r="AP65" s="44"/>
      <x:c r="AQ65" s="44"/>
      <x:c r="AR65" s="44"/>
      <x:c r="AS65" s="44"/>
      <x:c r="AT65" s="44"/>
      <x:c r="AU65" s="44"/>
      <x:c r="AV65" s="44"/>
      <x:c r="AW65" s="44"/>
      <x:c r="AX65" s="44"/>
      <x:c r="AY65" s="44"/>
      <x:c r="A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4"/>
      <x:c r="AL66" s="44"/>
      <x:c r="AM66" s="44"/>
      <x:c r="AN66" s="44"/>
      <x:c r="AO66" s="44"/>
      <x:c r="AP66" s="44"/>
      <x:c r="AQ66" s="44"/>
      <x:c r="AR66" s="44"/>
      <x:c r="AS66" s="44"/>
      <x:c r="AT66" s="44"/>
      <x:c r="AU66" s="44"/>
      <x:c r="AV66" s="44"/>
      <x:c r="AW66" s="44"/>
      <x:c r="AX66" s="44"/>
      <x:c r="AY66" s="44"/>
      <x:c r="A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4"/>
      <x:c r="AL67" s="44"/>
      <x:c r="AM67" s="44"/>
      <x:c r="AN67" s="44"/>
      <x:c r="AO67" s="44"/>
      <x:c r="AP67" s="44"/>
      <x:c r="AQ67" s="44"/>
      <x:c r="AR67" s="44"/>
      <x:c r="AS67" s="44"/>
      <x:c r="AT67" s="44"/>
      <x:c r="AU67" s="44"/>
      <x:c r="AV67" s="44"/>
      <x:c r="AW67" s="44"/>
      <x:c r="AX67" s="44"/>
      <x:c r="AY67" s="44"/>
      <x:c r="A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4"/>
      <x:c r="AL76" s="44"/>
      <x:c r="AM76" s="44"/>
      <x:c r="AN76" s="44"/>
      <x:c r="AO76" s="44"/>
      <x:c r="AP76" s="44"/>
      <x:c r="AQ76" s="44"/>
      <x:c r="AR76" s="44"/>
      <x:c r="AS76" s="44"/>
      <x:c r="AT76" s="44"/>
      <x:c r="AU76" s="44"/>
      <x:c r="AV76" s="44"/>
      <x:c r="AW76" s="44"/>
      <x:c r="AX76" s="44"/>
      <x:c r="AY76" s="44"/>
      <x:c r="A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4"/>
      <x:c r="AL77" s="44"/>
      <x:c r="AM77" s="44"/>
      <x:c r="AN77" s="44"/>
      <x:c r="AO77" s="44"/>
      <x:c r="AP77" s="44"/>
      <x:c r="AQ77" s="44"/>
      <x:c r="AR77" s="44"/>
      <x:c r="AS77" s="44"/>
      <x:c r="AT77" s="44"/>
      <x:c r="AU77" s="44"/>
      <x:c r="AV77" s="44"/>
      <x:c r="AW77" s="44"/>
      <x:c r="AX77" s="44"/>
      <x:c r="AY77" s="44"/>
      <x:c r="A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4"/>
      <x:c r="AL78" s="44"/>
      <x:c r="AM78" s="44"/>
      <x:c r="AN78" s="44"/>
      <x:c r="AO78" s="44"/>
      <x:c r="AP78" s="44"/>
      <x:c r="AQ78" s="44"/>
      <x:c r="AR78" s="44"/>
      <x:c r="AS78" s="44"/>
      <x:c r="AT78" s="44"/>
      <x:c r="AU78" s="44"/>
      <x:c r="AV78" s="44"/>
      <x:c r="AW78" s="44"/>
      <x:c r="AX78" s="44"/>
      <x:c r="AY78" s="44"/>
      <x:c r="A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4"/>
      <x:c r="AL79" s="44"/>
      <x:c r="AM79" s="44"/>
      <x:c r="AN79" s="44"/>
      <x:c r="AO79" s="44"/>
      <x:c r="AP79" s="44"/>
      <x:c r="AQ79" s="44"/>
      <x:c r="AR79" s="44"/>
      <x:c r="AS79" s="44"/>
      <x:c r="AT79" s="44"/>
      <x:c r="AU79" s="44"/>
      <x:c r="AV79" s="44"/>
      <x:c r="AW79" s="44"/>
      <x:c r="AX79" s="44"/>
      <x:c r="AY79" s="44"/>
      <x:c r="A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4"/>
      <x:c r="AL80" s="44"/>
      <x:c r="AM80" s="44"/>
      <x:c r="AN80" s="44"/>
      <x:c r="AO80" s="44"/>
      <x:c r="AP80" s="44"/>
      <x:c r="AQ80" s="44"/>
      <x:c r="AR80" s="44"/>
      <x:c r="AS80" s="44"/>
      <x:c r="AT80" s="44"/>
      <x:c r="AU80" s="44"/>
      <x:c r="AV80" s="44"/>
      <x:c r="AW80" s="44"/>
      <x:c r="AX80" s="44"/>
      <x:c r="AY80" s="44"/>
      <x:c r="A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4"/>
      <x:c r="AL81" s="44"/>
      <x:c r="AM81" s="44"/>
      <x:c r="AN81" s="44"/>
      <x:c r="AO81" s="44"/>
      <x:c r="AP81" s="44"/>
      <x:c r="AQ81" s="44"/>
      <x:c r="AR81" s="44"/>
      <x:c r="AS81" s="44"/>
      <x:c r="AT81" s="44"/>
      <x:c r="AU81" s="44"/>
      <x:c r="AV81" s="44"/>
      <x:c r="AW81" s="44"/>
      <x:c r="AX81" s="44"/>
      <x:c r="AY81" s="44"/>
      <x:c r="A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4"/>
      <x:c r="AL82" s="44"/>
      <x:c r="AM82" s="44"/>
      <x:c r="AN82" s="44"/>
      <x:c r="AO82" s="44"/>
      <x:c r="AP82" s="44"/>
      <x:c r="AQ82" s="44"/>
      <x:c r="AR82" s="44"/>
      <x:c r="AS82" s="44"/>
      <x:c r="AT82" s="44"/>
      <x:c r="AU82" s="44"/>
      <x:c r="AV82" s="44"/>
      <x:c r="AW82" s="44"/>
      <x:c r="AX82" s="44"/>
      <x:c r="AY82" s="44"/>
      <x:c r="A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4"/>
      <x:c r="AL83" s="44"/>
      <x:c r="AM83" s="44"/>
      <x:c r="AN83" s="44"/>
      <x:c r="AO83" s="44"/>
      <x:c r="AP83" s="44"/>
      <x:c r="AQ83" s="44"/>
      <x:c r="AR83" s="44"/>
      <x:c r="AS83" s="44"/>
      <x:c r="AT83" s="44"/>
      <x:c r="AU83" s="44"/>
      <x:c r="AV83" s="44"/>
      <x:c r="AW83" s="44"/>
      <x:c r="AX83" s="44"/>
      <x:c r="AY83" s="44"/>
      <x:c r="A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4"/>
      <x:c r="AL84" s="44"/>
      <x:c r="AM84" s="44"/>
      <x:c r="AN84" s="44"/>
      <x:c r="AO84" s="44"/>
      <x:c r="AP84" s="44"/>
      <x:c r="AQ84" s="44"/>
      <x:c r="AR84" s="44"/>
      <x:c r="AS84" s="44"/>
      <x:c r="AT84" s="44"/>
      <x:c r="AU84" s="44"/>
      <x:c r="AV84" s="44"/>
      <x:c r="AW84" s="44"/>
      <x:c r="AX84" s="44"/>
      <x:c r="AY84" s="44"/>
      <x:c r="A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4"/>
      <x:c r="AL85" s="44"/>
      <x:c r="AM85" s="44"/>
      <x:c r="AN85" s="44"/>
      <x:c r="AO85" s="44"/>
      <x:c r="AP85" s="44"/>
      <x:c r="AQ85" s="44"/>
      <x:c r="AR85" s="44"/>
      <x:c r="AS85" s="44"/>
      <x:c r="AT85" s="44"/>
      <x:c r="AU85" s="44"/>
      <x:c r="AV85" s="44"/>
      <x:c r="AW85" s="44"/>
      <x:c r="AX85" s="44"/>
      <x:c r="AY85" s="44"/>
      <x:c r="A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4"/>
      <x:c r="AL86" s="44"/>
      <x:c r="AM86" s="44"/>
      <x:c r="AN86" s="44"/>
      <x:c r="AO86" s="44"/>
      <x:c r="AP86" s="44"/>
      <x:c r="AQ86" s="44"/>
      <x:c r="AR86" s="44"/>
      <x:c r="AS86" s="44"/>
      <x:c r="AT86" s="44"/>
      <x:c r="AU86" s="44"/>
      <x:c r="AV86" s="44"/>
      <x:c r="AW86" s="44"/>
      <x:c r="AX86" s="44"/>
      <x:c r="AY86" s="44"/>
      <x:c r="A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4"/>
      <x:c r="AL87" s="44"/>
      <x:c r="AM87" s="44"/>
      <x:c r="AN87" s="44"/>
      <x:c r="AO87" s="44"/>
      <x:c r="AP87" s="44"/>
      <x:c r="AQ87" s="44"/>
      <x:c r="AR87" s="44"/>
      <x:c r="AS87" s="44"/>
      <x:c r="AT87" s="44"/>
      <x:c r="AU87" s="44"/>
      <x:c r="AV87" s="44"/>
      <x:c r="AW87" s="44"/>
      <x:c r="AX87" s="44"/>
      <x:c r="AY87" s="44"/>
      <x:c r="A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4"/>
      <x:c r="AL88" s="44"/>
      <x:c r="AM88" s="44"/>
      <x:c r="AN88" s="44"/>
      <x:c r="AO88" s="44"/>
      <x:c r="AP88" s="44"/>
      <x:c r="AQ88" s="44"/>
      <x:c r="AR88" s="44"/>
      <x:c r="AS88" s="44"/>
      <x:c r="AT88" s="44"/>
      <x:c r="AU88" s="44"/>
      <x:c r="AV88" s="44"/>
      <x:c r="AW88" s="44"/>
      <x:c r="AX88" s="44"/>
      <x:c r="AY88" s="44"/>
      <x:c r="A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4"/>
      <x:c r="AL89" s="44"/>
      <x:c r="AM89" s="44"/>
      <x:c r="AN89" s="44"/>
      <x:c r="AO89" s="44"/>
      <x:c r="AP89" s="44"/>
      <x:c r="AQ89" s="44"/>
      <x:c r="AR89" s="44"/>
      <x:c r="AS89" s="44"/>
      <x:c r="AT89" s="44"/>
      <x:c r="AU89" s="44"/>
      <x:c r="AV89" s="44"/>
      <x:c r="AW89" s="44"/>
      <x:c r="AX89" s="44"/>
      <x:c r="AY89" s="44"/>
      <x:c r="A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4"/>
      <x:c r="AL90" s="44"/>
      <x:c r="AM90" s="44"/>
      <x:c r="AN90" s="44"/>
      <x:c r="AO90" s="44"/>
      <x:c r="AP90" s="44"/>
      <x:c r="AQ90" s="44"/>
      <x:c r="AR90" s="44"/>
      <x:c r="AS90" s="44"/>
      <x:c r="AT90" s="44"/>
      <x:c r="AU90" s="44"/>
      <x:c r="AV90" s="44"/>
      <x:c r="AW90" s="44"/>
      <x:c r="AX90" s="44"/>
      <x:c r="AY90" s="44"/>
      <x:c r="A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4"/>
      <x:c r="AL91" s="44"/>
      <x:c r="AM91" s="44"/>
      <x:c r="AN91" s="44"/>
      <x:c r="AO91" s="44"/>
      <x:c r="AP91" s="44"/>
      <x:c r="AQ91" s="44"/>
      <x:c r="AR91" s="44"/>
      <x:c r="AS91" s="44"/>
      <x:c r="AT91" s="44"/>
      <x:c r="AU91" s="44"/>
      <x:c r="AV91" s="44"/>
      <x:c r="AW91" s="44"/>
      <x:c r="AX91" s="44"/>
      <x:c r="AY91" s="44"/>
      <x:c r="A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4"/>
      <x:c r="AL92" s="44"/>
      <x:c r="AM92" s="44"/>
      <x:c r="AN92" s="44"/>
      <x:c r="AO92" s="44"/>
      <x:c r="AP92" s="44"/>
      <x:c r="AQ92" s="44"/>
      <x:c r="AR92" s="44"/>
      <x:c r="AS92" s="44"/>
      <x:c r="AT92" s="44"/>
      <x:c r="AU92" s="44"/>
      <x:c r="AV92" s="44"/>
      <x:c r="AW92" s="44"/>
      <x:c r="AX92" s="44"/>
      <x:c r="AY92" s="44"/>
      <x:c r="A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4"/>
      <x:c r="AL93" s="44"/>
      <x:c r="AM93" s="44"/>
      <x:c r="AN93" s="44"/>
      <x:c r="AO93" s="44"/>
      <x:c r="AP93" s="44"/>
      <x:c r="AQ93" s="44"/>
      <x:c r="AR93" s="44"/>
      <x:c r="AS93" s="44"/>
      <x:c r="AT93" s="44"/>
      <x:c r="AU93" s="44"/>
      <x:c r="AV93" s="44"/>
      <x:c r="AW93" s="44"/>
      <x:c r="AX93" s="44"/>
      <x:c r="AY93" s="44"/>
      <x:c r="A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4"/>
      <x:c r="AL94" s="44"/>
      <x:c r="AM94" s="44"/>
      <x:c r="AN94" s="44"/>
      <x:c r="AO94" s="44"/>
      <x:c r="AP94" s="44"/>
      <x:c r="AQ94" s="44"/>
      <x:c r="AR94" s="44"/>
      <x:c r="AS94" s="44"/>
      <x:c r="AT94" s="44"/>
      <x:c r="AU94" s="44"/>
      <x:c r="AV94" s="44"/>
      <x:c r="AW94" s="44"/>
      <x:c r="AX94" s="44"/>
      <x:c r="AY94" s="44"/>
      <x:c r="A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4"/>
      <x:c r="AL96" s="44"/>
      <x:c r="AM96" s="44"/>
      <x:c r="AN96" s="44"/>
      <x:c r="AO96" s="44"/>
      <x:c r="AP96" s="44"/>
      <x:c r="AQ96" s="44"/>
      <x:c r="AR96" s="44"/>
      <x:c r="AS96" s="44"/>
      <x:c r="AT96" s="44"/>
      <x:c r="AU96" s="44"/>
      <x:c r="AV96" s="44"/>
      <x:c r="AW96" s="44"/>
      <x:c r="AX96" s="44"/>
      <x:c r="AY96" s="44"/>
      <x:c r="A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4"/>
      <x:c r="AL97" s="44"/>
      <x:c r="AM97" s="44"/>
      <x:c r="AN97" s="44"/>
      <x:c r="AO97" s="44"/>
      <x:c r="AP97" s="44"/>
      <x:c r="AQ97" s="44"/>
      <x:c r="AR97" s="44"/>
      <x:c r="AS97" s="44"/>
      <x:c r="AT97" s="44"/>
      <x:c r="AU97" s="44"/>
      <x:c r="AV97" s="44"/>
      <x:c r="AW97" s="44"/>
      <x:c r="AX97" s="44"/>
      <x:c r="AY97" s="44"/>
      <x:c r="A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4"/>
      <x:c r="AL98" s="44"/>
      <x:c r="AM98" s="44"/>
      <x:c r="AN98" s="44"/>
      <x:c r="AO98" s="44"/>
      <x:c r="AP98" s="44"/>
      <x:c r="AQ98" s="44"/>
      <x:c r="AR98" s="44"/>
      <x:c r="AS98" s="44"/>
      <x:c r="AT98" s="44"/>
      <x:c r="AU98" s="44"/>
      <x:c r="AV98" s="44"/>
      <x:c r="AW98" s="44"/>
      <x:c r="AX98" s="44"/>
      <x:c r="AY98" s="44"/>
      <x:c r="A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4"/>
      <x:c r="AL99" s="44"/>
      <x:c r="AM99" s="44"/>
      <x:c r="AN99" s="44"/>
      <x:c r="AO99" s="44"/>
      <x:c r="AP99" s="44"/>
      <x:c r="AQ99" s="44"/>
      <x:c r="AR99" s="44"/>
      <x:c r="AS99" s="44"/>
      <x:c r="AT99" s="44"/>
      <x:c r="AU99" s="44"/>
      <x:c r="AV99" s="44"/>
      <x:c r="AW99" s="44"/>
      <x:c r="AX99" s="44"/>
      <x:c r="AY99" s="44"/>
      <x:c r="A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4"/>
      <x:c r="AL100" s="44"/>
      <x:c r="AM100" s="44"/>
      <x:c r="AN100" s="44"/>
      <x:c r="AO100" s="44"/>
      <x:c r="AP100" s="44"/>
      <x:c r="AQ100" s="44"/>
      <x:c r="AR100" s="44"/>
      <x:c r="AS100" s="44"/>
      <x:c r="AT100" s="44"/>
      <x:c r="AU100" s="44"/>
      <x:c r="AV100" s="44"/>
      <x:c r="AW100" s="44"/>
      <x:c r="AX100" s="44"/>
      <x:c r="AY100" s="44"/>
      <x:c r="AZ100" s="44"/>
    </x:row>
  </x:sheetData>
  <x:mergeCells>
    <x:mergeCell ref="A1:P2"/>
    <x:mergeCell ref="A4:P4"/>
    <x:mergeCell ref="D6:P6"/>
    <x:mergeCell ref="A17:H17"/>
  </x:mergeCells>
  <x:conditionalFormatting sqref="B7:B14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H19:H23">
    <x:cfRule type="expression" dxfId="0" priority="2">
      <x:formula>H19="PASS"</x:formula>
    </x:cfRule>
    <x:cfRule type="expression" dxfId="1" priority="3">
      <x:formula>H19="FAIL"</x:formula>
    </x:cfRule>
  </x:conditionalFormatting>
  <x:pageMargins left="0.7" right="0.7" top="0.75" bottom="0.75" header="0.3" footer="0.3"/>
  <x:drawing xmlns:r="http://schemas.openxmlformats.org/officeDocument/2006/relationships" r:id="R4f9ef21514b34d21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</x:cols>
  <x:sheetData>
    <x:row r="1">
      <x:c r="A1" s="5" t="str">
        <x:v>Detailed Case-by-Case Comparison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44"/>
      <x:c r="AI1" s="44"/>
      <x:c r="AJ1" s="44"/>
      <x:c r="AK1" s="44"/>
      <x:c r="AL1" s="44"/>
      <x:c r="AM1" s="44"/>
      <x:c r="AN1" s="44"/>
      <x:c r="AO1" s="44"/>
      <x:c r="AP1" s="44"/>
      <x:c r="AQ1" s="44"/>
      <x:c r="AR1" s="44"/>
      <x:c r="AS1" s="44"/>
      <x:c r="AT1" s="44"/>
      <x:c r="AU1" s="44"/>
      <x:c r="AV1" s="44"/>
      <x:c r="AW1" s="44"/>
      <x:c r="AX1" s="44"/>
      <x:c r="AY1" s="44"/>
      <x:c r="AZ1" s="4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</x:row>
    <x:row r="4">
      <x:c r="A4" s="22" t="str">
        <x:v>Case</x:v>
      </x:c>
      <x:c r="B4" s="22" t="str">
        <x:v>Purpose</x:v>
      </x:c>
      <x:c r="C4" s="22" t="str">
        <x:v>Flow set (L/min)</x:v>
      </x:c>
      <x:c r="D4" s="22" t="str">
        <x:v>Flow actual (L/min)</x:v>
      </x:c>
      <x:c r="E4" s="22" t="str">
        <x:v>TIM thickness (mm)</x:v>
      </x:c>
      <x:c r="F4" s="22" t="str">
        <x:v>TIM k (W/m·K)</x:v>
      </x:c>
      <x:c r="G4" s="22" t="str">
        <x:v>TIM Rth theory (K/W)</x:v>
      </x:c>
      <x:c r="H4" s="22" t="str">
        <x:v>Pred Tmax (°C)</x:v>
      </x:c>
      <x:c r="I4" s="22" t="str">
        <x:v>COMSOL Tmax (°C)</x:v>
      </x:c>
      <x:c r="J4" s="22" t="str">
        <x:v>Tmax signed error (°C)</x:v>
      </x:c>
      <x:c r="K4" s="22" t="str">
        <x:v>Tmax abs. error (°C)</x:v>
      </x:c>
      <x:c r="L4" s="22" t="str">
        <x:v>Tmax error (%)</x:v>
      </x:c>
      <x:c r="M4" s="22" t="str">
        <x:v>Pred system Rth (K/W)</x:v>
      </x:c>
      <x:c r="N4" s="22" t="str">
        <x:v>COMSOL system Rth (K/W)</x:v>
      </x:c>
      <x:c r="O4" s="22" t="str">
        <x:v>Rth abs. error (K/W)</x:v>
      </x:c>
      <x:c r="P4" s="22" t="str">
        <x:v>Rth error (%)</x:v>
      </x:c>
      <x:c r="Q4" s="22" t="str">
        <x:v>Pred Tout (°C)</x:v>
      </x:c>
      <x:c r="R4" s="22" t="str">
        <x:v>COMSOL Tout (°C)</x:v>
      </x:c>
      <x:c r="S4" s="22" t="str">
        <x:v>Tout abs. error (°C)</x:v>
      </x:c>
      <x:c r="T4" s="22" t="str">
        <x:v>Tout error (%)</x:v>
      </x:c>
      <x:c r="U4" s="22" t="str">
        <x:v>Pred Δp (Pa)</x:v>
      </x:c>
      <x:c r="V4" s="22" t="str">
        <x:v>COMSOL Δp (Pa)</x:v>
      </x:c>
      <x:c r="W4" s="22" t="str">
        <x:v>Δp abs. error (Pa)</x:v>
      </x:c>
      <x:c r="X4" s="22" t="str">
        <x:v>Δp error (%)</x:v>
      </x:c>
      <x:c r="Y4" s="22" t="str">
        <x:v>Pred pump power (W)</x:v>
      </x:c>
      <x:c r="Z4" s="22" t="str">
        <x:v>COMSOL pump power (W)</x:v>
      </x:c>
      <x:c r="AA4" s="22" t="str">
        <x:v>Pump abs. error (W)</x:v>
      </x:c>
      <x:c r="AB4" s="22" t="str">
        <x:v>Pump error (%)</x:v>
      </x:c>
      <x:c r="AC4" s="22" t="str">
        <x:v>Pred thermal status</x:v>
      </x:c>
      <x:c r="AD4" s="22" t="str">
        <x:v>COMSOL thermal status</x:v>
      </x:c>
      <x:c r="AE4" s="22" t="str">
        <x:v>Classification match</x:v>
      </x:c>
      <x:c r="AF4" s="22" t="str">
        <x:v>Flow label error (%)</x:v>
      </x:c>
      <x:c r="AG4" s="22" t="str">
        <x:v>Mass balance error (%)</x:v>
      </x:c>
      <x:c r="AH4" s="44"/>
      <x:c r="AI4" s="44"/>
      <x:c r="AJ4" s="44"/>
      <x:c r="AK4" s="44"/>
      <x:c r="AL4" s="44"/>
      <x:c r="AM4" s="44"/>
      <x:c r="AN4" s="44"/>
      <x:c r="AO4" s="44"/>
      <x:c r="AP4" s="44"/>
      <x:c r="AQ4" s="44"/>
      <x:c r="AR4" s="44"/>
      <x:c r="AS4" s="44"/>
      <x:c r="AT4" s="44"/>
      <x:c r="AU4" s="44"/>
      <x:c r="AV4" s="44"/>
      <x:c r="AW4" s="44"/>
      <x:c r="AX4" s="44"/>
      <x:c r="AY4" s="44"/>
      <x:c r="AZ4" s="44"/>
    </x:row>
    <x:row r="5">
      <x:c r="A5" s="47" t="str">
        <x:v>V1</x:v>
      </x:c>
      <x:c r="B5" s="47" t="str">
        <x:v>Low-flow thermal stress</x:v>
      </x:c>
      <x:c r="C5" s="58" t="n">
        <x:v>0.12</x:v>
      </x:c>
      <x:c r="D5" s="58" t="n">
        <x:v>0.11999979762403801</x:v>
      </x:c>
      <x:c r="E5" s="58" t="n">
        <x:v>0.14</x:v>
      </x:c>
      <x:c r="F5" s="58" t="n">
        <x:v>2</x:v>
      </x:c>
      <x:c r="G5" s="58" t="n">
        <x:v>0.7000000000000001</x:v>
      </x:c>
      <x:c r="H5" s="58" t="n">
        <x:v>130.55411811959883</x:v>
      </x:c>
      <x:c r="I5" s="58" t="n">
        <x:v>130.45469173984378</x:v>
      </x:c>
      <x:c r="J5" s="58" t="n">
        <x:f>H5-I5</x:f>
        <x:v>0.09942637975504454</x:v>
      </x:c>
      <x:c r="K5" s="58" t="n">
        <x:f>ABS(J5)</x:f>
        <x:v>0.09942637975504454</x:v>
      </x:c>
      <x:c r="L5" s="58" t="n">
        <x:f>K5/ABS(I5)*100</x:f>
        <x:v>0.07621525790220199</x:v>
      </x:c>
      <x:c r="M5" s="58" t="n">
        <x:v>1.0555411811959883</x:v>
      </x:c>
      <x:c r="N5" s="58" t="n">
        <x:v>1.0545469173984379</x:v>
      </x:c>
      <x:c r="O5" s="58" t="n">
        <x:f>ABS(M5-N5)</x:f>
        <x:v>0.0009942637975504098</x:v>
      </x:c>
      <x:c r="P5" s="58" t="n">
        <x:f>O5/ABS(N5)*100</x:f>
        <x:v>0.09428350518564445</x:v>
      </x:c>
      <x:c r="Q5" s="58" t="n">
        <x:v>37.106559572192516</x:v>
      </x:c>
      <x:c r="R5" s="58" t="n">
        <x:v>36.95741349583773</x:v>
      </x:c>
      <x:c r="S5" s="58" t="n">
        <x:f>ABS(Q5-R5)</x:f>
        <x:v>0.14914607635478916</x:v>
      </x:c>
      <x:c r="T5" s="58" t="n">
        <x:f>S5/ABS(R5)*100</x:f>
        <x:v>0.4035619981132784</x:v>
      </x:c>
      <x:c r="U5" s="59" t="n">
        <x:v>3712.62810459749</x:v>
      </x:c>
      <x:c r="V5" s="59" t="n">
        <x:v>3707.6165933433713</x:v>
      </x:c>
      <x:c r="W5" s="59" t="n">
        <x:f>ABS(U5-V5)</x:f>
        <x:v>5.011511254118886</x:v>
      </x:c>
      <x:c r="X5" s="59" t="n">
        <x:f>W5/ABS(V5)*100</x:f>
        <x:v>0.13516800154353928</x:v>
      </x:c>
      <x:c r="Y5" s="58" t="n">
        <x:v>0.00742525620919498</x:v>
      </x:c>
      <x:c r="Z5" s="58" t="n">
        <x:v>0.007415233186686742</x:v>
      </x:c>
      <x:c r="AA5" s="58" t="n">
        <x:f>ABS(Y5-Z5)</x:f>
        <x:v>0.000010023022508237958</x:v>
      </x:c>
      <x:c r="AB5" s="58" t="n">
        <x:f>AA5/ABS(Z5)*100</x:f>
        <x:v>0.1351680015435418</x:v>
      </x:c>
      <x:c r="AC5" s="60" t="str">
        <x:v>FAIL</x:v>
      </x:c>
      <x:c r="AD5" s="60" t="str">
        <x:v>FAIL</x:v>
      </x:c>
      <x:c r="AE5" s="60" t="str">
        <x:f>IF(AC5=AD5,"YES","NO")</x:f>
        <x:v>YES</x:v>
      </x:c>
      <x:c r="AF5" s="61" t="n">
        <x:f>ABS(D5-C5)/C5*100</x:f>
        <x:v>0.00016864663499038812</x:v>
      </x:c>
      <x:c r="AG5" s="61" t="n">
        <x:v>0.36070616497116037</x:v>
      </x:c>
      <x:c r="AH5" s="44"/>
      <x:c r="AI5" s="44"/>
      <x:c r="AJ5" s="44"/>
      <x:c r="AK5" s="44"/>
      <x:c r="AL5" s="44"/>
      <x:c r="AM5" s="44"/>
      <x:c r="AN5" s="44"/>
      <x:c r="AO5" s="44"/>
      <x:c r="AP5" s="44"/>
      <x:c r="AQ5" s="44"/>
      <x:c r="AR5" s="44"/>
      <x:c r="AS5" s="44"/>
      <x:c r="AT5" s="44"/>
      <x:c r="AU5" s="44"/>
      <x:c r="AV5" s="44"/>
      <x:c r="AW5" s="44"/>
      <x:c r="AX5" s="44"/>
      <x:c r="AY5" s="44"/>
      <x:c r="AZ5" s="44"/>
    </x:row>
    <x:row r="6">
      <x:c r="A6" s="47" t="str">
        <x:v>V2</x:v>
      </x:c>
      <x:c r="B6" s="47" t="str">
        <x:v>Near thermal constraint</x:v>
      </x:c>
      <x:c r="C6" s="58" t="n">
        <x:v>0.18</x:v>
      </x:c>
      <x:c r="D6" s="58" t="n">
        <x:v>0.17999988501523617</x:v>
      </x:c>
      <x:c r="E6" s="58" t="n">
        <x:v>0.1</x:v>
      </x:c>
      <x:c r="F6" s="58" t="n">
        <x:v>4.5</x:v>
      </x:c>
      <x:c r="G6" s="58" t="n">
        <x:v>0.2222222222222222</x:v>
      </x:c>
      <x:c r="H6" s="58" t="n">
        <x:v>78.77718880798611</x:v>
      </x:c>
      <x:c r="I6" s="58" t="n">
        <x:v>78.83079426542457</x:v>
      </x:c>
      <x:c r="J6" s="58" t="n">
        <x:f>H6-I6</x:f>
        <x:v>-0.05360545743846501</x:v>
      </x:c>
      <x:c r="K6" s="58" t="n">
        <x:f>ABS(J6)</x:f>
        <x:v>0.05360545743846501</x:v>
      </x:c>
      <x:c r="L6" s="58" t="n">
        <x:f>K6/ABS(I6)*100</x:f>
        <x:v>0.06800065626381305</x:v>
      </x:c>
      <x:c r="M6" s="58" t="n">
        <x:v>0.5377718880798611</x:v>
      </x:c>
      <x:c r="N6" s="58" t="n">
        <x:v>0.5383079426542458</x:v>
      </x:c>
      <x:c r="O6" s="58" t="n">
        <x:f>ABS(M6-N6)</x:f>
        <x:v>0.000536054574384659</x:v>
      </x:c>
      <x:c r="P6" s="58" t="n">
        <x:f>O6/ABS(N6)*100</x:f>
        <x:v>0.09958139791538723</x:v>
      </x:c>
      <x:c r="Q6" s="58" t="n">
        <x:v>32.901639309652346</x:v>
      </x:c>
      <x:c r="R6" s="58" t="n">
        <x:v>32.961544734971085</x:v>
      </x:c>
      <x:c r="S6" s="58" t="n">
        <x:f>ABS(Q6-R6)</x:f>
        <x:v>0.05990542531873899</x:v>
      </x:c>
      <x:c r="T6" s="58" t="n">
        <x:f>S6/ABS(R6)*100</x:f>
        <x:v>0.18174337944538552</x:v>
      </x:c>
      <x:c r="U6" s="59" t="n">
        <x:v>6044.184833927884</x:v>
      </x:c>
      <x:c r="V6" s="59" t="n">
        <x:v>6044.394201564301</x:v>
      </x:c>
      <x:c r="W6" s="59" t="n">
        <x:f>ABS(U6-V6)</x:f>
        <x:v>0.20936763641657308</x:v>
      </x:c>
      <x:c r="X6" s="59" t="n">
        <x:f>W6/ABS(V6)*100</x:f>
        <x:v>0.003463831600566163</x:v>
      </x:c>
      <x:c r="Y6" s="58" t="n">
        <x:v>0.01813255450178365</x:v>
      </x:c>
      <x:c r="Z6" s="58" t="n">
        <x:v>0.0181331826046929</x:v>
      </x:c>
      <x:c r="AA6" s="58" t="n">
        <x:f>ABS(Y6-Z6)</x:f>
        <x:v>6.281029092496115e-7</x:v>
      </x:c>
      <x:c r="AB6" s="58" t="n">
        <x:f>AA6/ABS(Z6)*100</x:f>
        <x:v>0.003463831600565569</x:v>
      </x:c>
      <x:c r="AC6" s="60" t="str">
        <x:v>PASS</x:v>
      </x:c>
      <x:c r="AD6" s="60" t="str">
        <x:v>PASS</x:v>
      </x:c>
      <x:c r="AE6" s="60" t="str">
        <x:f>IF(AC6=AD6,"YES","NO")</x:f>
        <x:v>YES</x:v>
      </x:c>
      <x:c r="AF6" s="61" t="n">
        <x:f>ABS(D6-C6)/C6*100</x:f>
        <x:v>0.00006388042434530345</x:v>
      </x:c>
      <x:c r="AG6" s="61" t="n">
        <x:v>0.22915558331632543</x:v>
      </x:c>
      <x:c r="AH6" s="44"/>
      <x:c r="AI6" s="44"/>
      <x:c r="AJ6" s="44"/>
      <x:c r="AK6" s="44"/>
      <x:c r="AL6" s="44"/>
      <x:c r="AM6" s="44"/>
      <x:c r="AN6" s="44"/>
      <x:c r="AO6" s="44"/>
      <x:c r="AP6" s="44"/>
      <x:c r="AQ6" s="44"/>
      <x:c r="AR6" s="44"/>
      <x:c r="AS6" s="44"/>
      <x:c r="AT6" s="44"/>
      <x:c r="AU6" s="44"/>
      <x:c r="AV6" s="44"/>
      <x:c r="AW6" s="44"/>
      <x:c r="AX6" s="44"/>
      <x:c r="AY6" s="44"/>
      <x:c r="AZ6" s="44"/>
    </x:row>
    <x:row r="7">
      <x:c r="A7" s="47" t="str">
        <x:v>V3</x:v>
      </x:c>
      <x:c r="B7" s="47" t="str">
        <x:v>Central interpolation</x:v>
      </x:c>
      <x:c r="C7" s="58" t="n">
        <x:v>0.23</x:v>
      </x:c>
      <x:c r="D7" s="58" t="n">
        <x:v>0.22999994847881</x:v>
      </x:c>
      <x:c r="E7" s="58" t="n">
        <x:v>0.09</x:v>
      </x:c>
      <x:c r="F7" s="58" t="n">
        <x:v>3.8</x:v>
      </x:c>
      <x:c r="G7" s="58" t="n">
        <x:v>0.23684210526315785</x:v>
      </x:c>
      <x:c r="H7" s="58" t="n">
        <x:v>78.01013642089467</x:v>
      </x:c>
      <x:c r="I7" s="58" t="n">
        <x:v>78.03722515170631</x:v>
      </x:c>
      <x:c r="J7" s="58" t="n">
        <x:f>H7-I7</x:f>
        <x:v>-0.027088730811641426</x:v>
      </x:c>
      <x:c r="K7" s="58" t="n">
        <x:f>ABS(J7)</x:f>
        <x:v>0.027088730811641426</x:v>
      </x:c>
      <x:c r="L7" s="58" t="n">
        <x:f>K7/ABS(I7)*100</x:f>
        <x:v>0.034712575644482824</x:v>
      </x:c>
      <x:c r="M7" s="58" t="n">
        <x:v>0.5301013642089466</x:v>
      </x:c>
      <x:c r="N7" s="58" t="n">
        <x:v>0.5303722515170631</x:v>
      </x:c>
      <x:c r="O7" s="58" t="n">
        <x:f>ABS(M7-N7)</x:f>
        <x:v>0.0002708873081165297</x:v>
      </x:c>
      <x:c r="P7" s="58" t="n">
        <x:f>O7/ABS(N7)*100</x:f>
        <x:v>0.05107493978836386</x:v>
      </x:c>
      <x:c r="Q7" s="58" t="n">
        <x:v>31.35627153789479</x:v>
      </x:c>
      <x:c r="R7" s="58" t="n">
        <x:v>31.222925339564654</x:v>
      </x:c>
      <x:c r="S7" s="58" t="n">
        <x:f>ABS(Q7-R7)</x:f>
        <x:v>0.1333461983301376</x:v>
      </x:c>
      <x:c r="T7" s="58" t="n">
        <x:f>S7/ABS(R7)*100</x:f>
        <x:v>0.42707785026525286</x:v>
      </x:c>
      <x:c r="U7" s="59" t="n">
        <x:v>8064.0698619206505</x:v>
      </x:c>
      <x:c r="V7" s="59" t="n">
        <x:v>8066.439099888552</x:v>
      </x:c>
      <x:c r="W7" s="59" t="n">
        <x:f>ABS(U7-V7)</x:f>
        <x:v>2.3692379679014266</x:v>
      </x:c>
      <x:c r="X7" s="59" t="n">
        <x:f>W7/ABS(V7)*100</x:f>
        <x:v>0.029371547203947284</x:v>
      </x:c>
      <x:c r="Y7" s="58" t="n">
        <x:v>0.030912267804029163</x:v>
      </x:c>
      <x:c r="Z7" s="58" t="n">
        <x:v>0.030921349882906117</x:v>
      </x:c>
      <x:c r="AA7" s="58" t="n">
        <x:f>ABS(Y7-Z7)</x:f>
        <x:v>0.000009082078876954114</x:v>
      </x:c>
      <x:c r="AB7" s="58" t="n">
        <x:f>AA7/ABS(Z7)*100</x:f>
        <x:v>0.029371547203942902</x:v>
      </x:c>
      <x:c r="AC7" s="60" t="str">
        <x:v>PASS</x:v>
      </x:c>
      <x:c r="AD7" s="60" t="str">
        <x:v>PASS</x:v>
      </x:c>
      <x:c r="AE7" s="60" t="str">
        <x:f>IF(AC7=AD7,"YES","NO")</x:f>
        <x:v>YES</x:v>
      </x:c>
      <x:c r="AF7" s="61" t="n">
        <x:f>ABS(D7-C7)/C7*100</x:f>
        <x:v>0.000022400517395099907</x:v>
      </x:c>
      <x:c r="AG7" s="61" t="n">
        <x:v>0.1753224686569368</x:v>
      </x:c>
      <x:c r="AH7" s="44"/>
      <x:c r="AI7" s="44"/>
      <x:c r="AJ7" s="44"/>
      <x:c r="AK7" s="44"/>
      <x:c r="AL7" s="44"/>
      <x:c r="AM7" s="44"/>
      <x:c r="AN7" s="44"/>
      <x:c r="AO7" s="44"/>
      <x:c r="AP7" s="44"/>
      <x:c r="AQ7" s="44"/>
      <x:c r="AR7" s="44"/>
      <x:c r="AS7" s="44"/>
      <x:c r="AT7" s="44"/>
      <x:c r="AU7" s="44"/>
      <x:c r="AV7" s="44"/>
      <x:c r="AW7" s="44"/>
      <x:c r="AX7" s="44"/>
      <x:c r="AY7" s="44"/>
      <x:c r="AZ7" s="44"/>
    </x:row>
    <x:row r="8">
      <x:c r="A8" s="47" t="str">
        <x:v>V4</x:v>
      </x:c>
      <x:c r="B8" s="47" t="str">
        <x:v>High-performance condition</x:v>
      </x:c>
      <x:c r="C8" s="58" t="n">
        <x:v>0.27</x:v>
      </x:c>
      <x:c r="D8" s="58" t="n">
        <x:v>0.26999998076842513</x:v>
      </x:c>
      <x:c r="E8" s="58" t="n">
        <x:v>0.06</x:v>
      </x:c>
      <x:c r="F8" s="58" t="n">
        <x:v>5</x:v>
      </x:c>
      <x:c r="G8" s="58" t="n">
        <x:v>0.11999999999999998</x:v>
      </x:c>
      <x:c r="H8" s="58" t="n">
        <x:v>65.13483820933885</x:v>
      </x:c>
      <x:c r="I8" s="58" t="n">
        <x:v>65.1100601860901</x:v>
      </x:c>
      <x:c r="J8" s="58" t="n">
        <x:f>H8-I8</x:f>
        <x:v>0.02477802324875711</x:v>
      </x:c>
      <x:c r="K8" s="58" t="n">
        <x:f>ABS(J8)</x:f>
        <x:v>0.02477802324875711</x:v>
      </x:c>
      <x:c r="L8" s="58" t="n">
        <x:f>K8/ABS(I8)*100</x:f>
        <x:v>0.03805559874762734</x:v>
      </x:c>
      <x:c r="M8" s="58" t="n">
        <x:v>0.40134838209338847</x:v>
      </x:c>
      <x:c r="N8" s="58" t="n">
        <x:v>0.40110060186090096</x:v>
      </x:c>
      <x:c r="O8" s="58" t="n">
        <x:f>ABS(M8-N8)</x:f>
        <x:v>0.00024778023248750447</x:v>
      </x:c>
      <x:c r="P8" s="58" t="n">
        <x:f>O8/ABS(N8)*100</x:f>
        <x:v>0.06177508369170511</x:v>
      </x:c>
      <x:c r="Q8" s="58" t="n">
        <x:v>30.45155851246638</x:v>
      </x:c>
      <x:c r="R8" s="58" t="n">
        <x:v>30.294307071215655</x:v>
      </x:c>
      <x:c r="S8" s="58" t="n">
        <x:f>ABS(Q8-R8)</x:f>
        <x:v>0.15725144125072532</x:v>
      </x:c>
      <x:c r="T8" s="58" t="n">
        <x:f>S8/ABS(R8)*100</x:f>
        <x:v>0.5190791817124573</x:v>
      </x:c>
      <x:c r="U8" s="59" t="n">
        <x:v>9701.54625083356</x:v>
      </x:c>
      <x:c r="V8" s="59" t="n">
        <x:v>9706.405731555173</x:v>
      </x:c>
      <x:c r="W8" s="59" t="n">
        <x:f>ABS(U8-V8)</x:f>
        <x:v>4.859480721612272</x:v>
      </x:c>
      <x:c r="X8" s="59" t="n">
        <x:f>W8/ABS(V8)*100</x:f>
        <x:v>0.050064677451245175</x:v>
      </x:c>
      <x:c r="Y8" s="58" t="n">
        <x:v>0.043656958128751026</x:v>
      </x:c>
      <x:c r="Z8" s="58" t="n">
        <x:v>0.04367882579199828</x:v>
      </x:c>
      <x:c r="AA8" s="58" t="n">
        <x:f>ABS(Y8-Z8)</x:f>
        <x:v>0.00002186766324725059</x:v>
      </x:c>
      <x:c r="AB8" s="58" t="n">
        <x:f>AA8/ABS(Z8)*100</x:f>
        <x:v>0.05006467745123457</x:v>
      </x:c>
      <x:c r="AC8" s="60" t="str">
        <x:v>PASS</x:v>
      </x:c>
      <x:c r="AD8" s="60" t="str">
        <x:v>PASS</x:v>
      </x:c>
      <x:c r="AE8" s="60" t="str">
        <x:f>IF(AC8=AD8,"YES","NO")</x:f>
        <x:v>YES</x:v>
      </x:c>
      <x:c r="AF8" s="61" t="n">
        <x:f>ABS(D8-C8)/C8*100</x:f>
        <x:v>0.000007122805514127974</x:v>
      </x:c>
      <x:c r="AG8" s="61" t="n">
        <x:v>0.14670274034698044</x:v>
      </x:c>
      <x:c r="AH8" s="44"/>
      <x:c r="AI8" s="44"/>
      <x:c r="AJ8" s="44"/>
      <x:c r="AK8" s="44"/>
      <x:c r="AL8" s="44"/>
      <x:c r="AM8" s="44"/>
      <x:c r="AN8" s="44"/>
      <x:c r="AO8" s="44"/>
      <x:c r="AP8" s="44"/>
      <x:c r="AQ8" s="44"/>
      <x:c r="AR8" s="44"/>
      <x:c r="AS8" s="44"/>
      <x:c r="AT8" s="44"/>
      <x:c r="AU8" s="44"/>
      <x:c r="AV8" s="44"/>
      <x:c r="AW8" s="44"/>
      <x:c r="AX8" s="44"/>
      <x:c r="AY8" s="44"/>
      <x:c r="AZ8" s="44"/>
    </x:row>
    <x:row r="9">
      <x:c r="A9" s="47" t="str">
        <x:v>V5</x:v>
      </x:c>
      <x:c r="B9" s="47" t="str">
        <x:v>High flow with unfavorable TIM</x:v>
      </x:c>
      <x:c r="C9" s="58" t="n">
        <x:v>0.28</x:v>
      </x:c>
      <x:c r="D9" s="58" t="n">
        <x:v>0.2799999097334561</x:v>
      </x:c>
      <x:c r="E9" s="58" t="n">
        <x:v>0.13</x:v>
      </x:c>
      <x:c r="F9" s="58" t="n">
        <x:v>2.5</x:v>
      </x:c>
      <x:c r="G9" s="58" t="n">
        <x:v>0.52</x:v>
      </x:c>
      <x:c r="H9" s="58" t="n">
        <x:v>104.32757698155008</x:v>
      </x:c>
      <x:c r="I9" s="58" t="n">
        <x:v>104.27917052237643</x:v>
      </x:c>
      <x:c r="J9" s="58" t="n">
        <x:f>H9-I9</x:f>
        <x:v>0.048406459173648386</x:v>
      </x:c>
      <x:c r="K9" s="58" t="n">
        <x:f>ABS(J9)</x:f>
        <x:v>0.048406459173648386</x:v>
      </x:c>
      <x:c r="L9" s="58" t="n">
        <x:f>K9/ABS(I9)*100</x:f>
        <x:v>0.04642006541782113</x:v>
      </x:c>
      <x:c r="M9" s="58" t="n">
        <x:v>0.7932757698155009</x:v>
      </x:c>
      <x:c r="N9" s="58" t="n">
        <x:v>0.7927917052237643</x:v>
      </x:c>
      <x:c r="O9" s="58" t="n">
        <x:f>ABS(M9-N9)</x:f>
        <x:v>0.0004840645917365549</x:v>
      </x:c>
      <x:c r="P9" s="58" t="n">
        <x:f>O9/ABS(N9)*100</x:f>
        <x:v>0.06105823112767412</x:v>
      </x:c>
      <x:c r="Q9" s="58" t="n">
        <x:v>30.23786330040544</x:v>
      </x:c>
      <x:c r="R9" s="58" t="n">
        <x:v>30.104301039309064</x:v>
      </x:c>
      <x:c r="S9" s="58" t="n">
        <x:f>ABS(Q9-R9)</x:f>
        <x:v>0.13356226109637603</x:v>
      </x:c>
      <x:c r="T9" s="58" t="n">
        <x:f>S9/ABS(R9)*100</x:f>
        <x:v>0.4436650461406676</x:v>
      </x:c>
      <x:c r="U9" s="59" t="n">
        <x:v>10111.861347163594</x:v>
      </x:c>
      <x:c r="V9" s="59" t="n">
        <x:v>10113.383414296544</x:v>
      </x:c>
      <x:c r="W9" s="59" t="n">
        <x:f>ABS(U9-V9)</x:f>
        <x:v>1.5220671329498145</x:v>
      </x:c>
      <x:c r="X9" s="59" t="n">
        <x:f>W9/ABS(V9)*100</x:f>
        <x:v>0.015050028962594067</x:v>
      </x:c>
      <x:c r="Y9" s="58" t="n">
        <x:v>0.04718868628676345</x:v>
      </x:c>
      <x:c r="Z9" s="58" t="n">
        <x:v>0.04719578926671721</x:v>
      </x:c>
      <x:c r="AA9" s="58" t="n">
        <x:f>ABS(Y9-Z9)</x:f>
        <x:v>0.000007102979953765853</x:v>
      </x:c>
      <x:c r="AB9" s="58" t="n">
        <x:f>AA9/ABS(Z9)*100</x:f>
        <x:v>0.015050028962594175</x:v>
      </x:c>
      <x:c r="AC9" s="60" t="str">
        <x:v>FAIL</x:v>
      </x:c>
      <x:c r="AD9" s="60" t="str">
        <x:v>FAIL</x:v>
      </x:c>
      <x:c r="AE9" s="60" t="str">
        <x:f>IF(AC9=AD9,"YES","NO")</x:f>
        <x:v>YES</x:v>
      </x:c>
      <x:c r="AF9" s="61" t="n">
        <x:f>ABS(D9-C9)/C9*100</x:f>
        <x:v>0.000032238051395072624</x:v>
      </x:c>
      <x:c r="AG9" s="61" t="n">
        <x:v>0.14030627837663212</x:v>
      </x:c>
      <x:c r="AH9" s="44"/>
      <x:c r="AI9" s="44"/>
      <x:c r="AJ9" s="44"/>
      <x:c r="AK9" s="44"/>
      <x:c r="AL9" s="44"/>
      <x:c r="AM9" s="44"/>
      <x:c r="AN9" s="44"/>
      <x:c r="AO9" s="44"/>
      <x:c r="AP9" s="44"/>
      <x:c r="AQ9" s="44"/>
      <x:c r="AR9" s="44"/>
      <x:c r="AS9" s="44"/>
      <x:c r="AT9" s="44"/>
      <x:c r="AU9" s="44"/>
      <x:c r="AV9" s="44"/>
      <x:c r="AW9" s="44"/>
      <x:c r="AX9" s="44"/>
      <x:c r="AY9" s="44"/>
      <x:c r="A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4"/>
      <x:c r="AL10" s="44"/>
      <x:c r="AM10" s="44"/>
      <x:c r="AN10" s="44"/>
      <x:c r="AO10" s="44"/>
      <x:c r="AP10" s="44"/>
      <x:c r="AQ10" s="44"/>
      <x:c r="AR10" s="44"/>
      <x:c r="AS10" s="44"/>
      <x:c r="AT10" s="44"/>
      <x:c r="AU10" s="44"/>
      <x:c r="AV10" s="44"/>
      <x:c r="AW10" s="44"/>
      <x:c r="AX10" s="44"/>
      <x:c r="AY10" s="44"/>
      <x:c r="A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4"/>
      <x:c r="AL11" s="44"/>
      <x:c r="AM11" s="44"/>
      <x:c r="AN11" s="44"/>
      <x:c r="AO11" s="44"/>
      <x:c r="AP11" s="44"/>
      <x:c r="AQ11" s="44"/>
      <x:c r="AR11" s="44"/>
      <x:c r="AS11" s="44"/>
      <x:c r="AT11" s="44"/>
      <x:c r="AU11" s="44"/>
      <x:c r="AV11" s="44"/>
      <x:c r="AW11" s="44"/>
      <x:c r="AX11" s="44"/>
      <x:c r="AY11" s="44"/>
      <x:c r="A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4"/>
      <x:c r="AL12" s="44"/>
      <x:c r="AM12" s="44"/>
      <x:c r="AN12" s="44"/>
      <x:c r="AO12" s="44"/>
      <x:c r="AP12" s="44"/>
      <x:c r="AQ12" s="44"/>
      <x:c r="AR12" s="44"/>
      <x:c r="AS12" s="44"/>
      <x:c r="AT12" s="44"/>
      <x:c r="AU12" s="44"/>
      <x:c r="AV12" s="44"/>
      <x:c r="AW12" s="44"/>
      <x:c r="AX12" s="44"/>
      <x:c r="AY12" s="44"/>
      <x:c r="A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  <x:c r="AR13" s="44"/>
      <x:c r="AS13" s="44"/>
      <x:c r="AT13" s="44"/>
      <x:c r="AU13" s="44"/>
      <x:c r="AV13" s="44"/>
      <x:c r="AW13" s="44"/>
      <x:c r="AX13" s="44"/>
      <x:c r="AY13" s="44"/>
      <x:c r="A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4"/>
      <x:c r="AL14" s="44"/>
      <x:c r="AM14" s="44"/>
      <x:c r="AN14" s="44"/>
      <x:c r="AO14" s="44"/>
      <x:c r="AP14" s="44"/>
      <x:c r="AQ14" s="44"/>
      <x:c r="AR14" s="44"/>
      <x:c r="AS14" s="44"/>
      <x:c r="AT14" s="44"/>
      <x:c r="AU14" s="44"/>
      <x:c r="AV14" s="44"/>
      <x:c r="AW14" s="44"/>
      <x:c r="AX14" s="44"/>
      <x:c r="AY14" s="44"/>
      <x:c r="A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4"/>
      <x:c r="AL15" s="44"/>
      <x:c r="AM15" s="44"/>
      <x:c r="AN15" s="44"/>
      <x:c r="AO15" s="44"/>
      <x:c r="AP15" s="44"/>
      <x:c r="AQ15" s="44"/>
      <x:c r="AR15" s="44"/>
      <x:c r="AS15" s="44"/>
      <x:c r="AT15" s="44"/>
      <x:c r="AU15" s="44"/>
      <x:c r="AV15" s="44"/>
      <x:c r="AW15" s="44"/>
      <x:c r="AX15" s="44"/>
      <x:c r="AY15" s="44"/>
      <x:c r="A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4"/>
      <x:c r="AL16" s="44"/>
      <x:c r="AM16" s="44"/>
      <x:c r="AN16" s="44"/>
      <x:c r="AO16" s="44"/>
      <x:c r="AP16" s="44"/>
      <x:c r="AQ16" s="44"/>
      <x:c r="AR16" s="44"/>
      <x:c r="AS16" s="44"/>
      <x:c r="AT16" s="44"/>
      <x:c r="AU16" s="44"/>
      <x:c r="AV16" s="44"/>
      <x:c r="AW16" s="44"/>
      <x:c r="AX16" s="44"/>
      <x:c r="AY16" s="44"/>
      <x:c r="A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/>
      <x:c r="AN17" s="44"/>
      <x:c r="AO17" s="44"/>
      <x:c r="AP17" s="44"/>
      <x:c r="AQ17" s="44"/>
      <x:c r="AR17" s="44"/>
      <x:c r="AS17" s="44"/>
      <x:c r="AT17" s="44"/>
      <x:c r="AU17" s="44"/>
      <x:c r="AV17" s="44"/>
      <x:c r="AW17" s="44"/>
      <x:c r="AX17" s="44"/>
      <x:c r="AY17" s="44"/>
      <x:c r="A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4"/>
      <x:c r="AL18" s="44"/>
      <x:c r="AM18" s="44"/>
      <x:c r="AN18" s="44"/>
      <x:c r="AO18" s="44"/>
      <x:c r="AP18" s="44"/>
      <x:c r="AQ18" s="44"/>
      <x:c r="AR18" s="44"/>
      <x:c r="AS18" s="44"/>
      <x:c r="AT18" s="44"/>
      <x:c r="AU18" s="44"/>
      <x:c r="AV18" s="44"/>
      <x:c r="AW18" s="44"/>
      <x:c r="AX18" s="44"/>
      <x:c r="AY18" s="44"/>
      <x:c r="A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4"/>
      <x:c r="AL19" s="44"/>
      <x:c r="AM19" s="44"/>
      <x:c r="AN19" s="44"/>
      <x:c r="AO19" s="44"/>
      <x:c r="AP19" s="44"/>
      <x:c r="AQ19" s="44"/>
      <x:c r="AR19" s="44"/>
      <x:c r="AS19" s="44"/>
      <x:c r="AT19" s="44"/>
      <x:c r="AU19" s="44"/>
      <x:c r="AV19" s="44"/>
      <x:c r="AW19" s="44"/>
      <x:c r="AX19" s="44"/>
      <x:c r="AY19" s="44"/>
      <x:c r="A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  <x:c r="AR20" s="44"/>
      <x:c r="AS20" s="44"/>
      <x:c r="AT20" s="44"/>
      <x:c r="AU20" s="44"/>
      <x:c r="AV20" s="44"/>
      <x:c r="AW20" s="44"/>
      <x:c r="AX20" s="44"/>
      <x:c r="AY20" s="44"/>
      <x:c r="A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4"/>
      <x:c r="AL21" s="44"/>
      <x:c r="AM21" s="44"/>
      <x:c r="AN21" s="44"/>
      <x:c r="AO21" s="44"/>
      <x:c r="AP21" s="44"/>
      <x:c r="AQ21" s="44"/>
      <x:c r="AR21" s="44"/>
      <x:c r="AS21" s="44"/>
      <x:c r="AT21" s="44"/>
      <x:c r="AU21" s="44"/>
      <x:c r="AV21" s="44"/>
      <x:c r="AW21" s="44"/>
      <x:c r="AX21" s="44"/>
      <x:c r="AY21" s="44"/>
      <x:c r="A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4"/>
      <x:c r="AL22" s="44"/>
      <x:c r="AM22" s="44"/>
      <x:c r="AN22" s="44"/>
      <x:c r="AO22" s="44"/>
      <x:c r="AP22" s="44"/>
      <x:c r="AQ22" s="44"/>
      <x:c r="AR22" s="44"/>
      <x:c r="AS22" s="44"/>
      <x:c r="AT22" s="44"/>
      <x:c r="AU22" s="44"/>
      <x:c r="AV22" s="44"/>
      <x:c r="AW22" s="44"/>
      <x:c r="AX22" s="44"/>
      <x:c r="AY22" s="44"/>
      <x:c r="A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4"/>
      <x:c r="AL23" s="44"/>
      <x:c r="AM23" s="44"/>
      <x:c r="AN23" s="44"/>
      <x:c r="AO23" s="44"/>
      <x:c r="AP23" s="44"/>
      <x:c r="AQ23" s="44"/>
      <x:c r="AR23" s="44"/>
      <x:c r="AS23" s="44"/>
      <x:c r="AT23" s="44"/>
      <x:c r="AU23" s="44"/>
      <x:c r="AV23" s="44"/>
      <x:c r="AW23" s="44"/>
      <x:c r="AX23" s="44"/>
      <x:c r="AY23" s="44"/>
      <x:c r="A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4"/>
      <x:c r="AL25" s="44"/>
      <x:c r="AM25" s="44"/>
      <x:c r="AN25" s="44"/>
      <x:c r="AO25" s="44"/>
      <x:c r="AP25" s="44"/>
      <x:c r="AQ25" s="44"/>
      <x:c r="AR25" s="44"/>
      <x:c r="AS25" s="44"/>
      <x:c r="AT25" s="44"/>
      <x:c r="AU25" s="44"/>
      <x:c r="AV25" s="44"/>
      <x:c r="AW25" s="44"/>
      <x:c r="AX25" s="44"/>
      <x:c r="AY25" s="44"/>
      <x:c r="A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4"/>
      <x:c r="AL26" s="44"/>
      <x:c r="AM26" s="44"/>
      <x:c r="AN26" s="44"/>
      <x:c r="AO26" s="44"/>
      <x:c r="AP26" s="44"/>
      <x:c r="AQ26" s="44"/>
      <x:c r="AR26" s="44"/>
      <x:c r="AS26" s="44"/>
      <x:c r="AT26" s="44"/>
      <x:c r="AU26" s="44"/>
      <x:c r="AV26" s="44"/>
      <x:c r="AW26" s="44"/>
      <x:c r="AX26" s="44"/>
      <x:c r="AY26" s="44"/>
      <x:c r="A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/>
      <x:c r="AT27" s="44"/>
      <x:c r="AU27" s="44"/>
      <x:c r="AV27" s="44"/>
      <x:c r="AW27" s="44"/>
      <x:c r="AX27" s="44"/>
      <x:c r="AY27" s="44"/>
      <x:c r="A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/>
      <x:c r="AT28" s="44"/>
      <x:c r="AU28" s="44"/>
      <x:c r="AV28" s="44"/>
      <x:c r="AW28" s="44"/>
      <x:c r="AX28" s="44"/>
      <x:c r="AY28" s="44"/>
      <x:c r="A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4"/>
      <x:c r="AL32" s="44"/>
      <x:c r="AM32" s="44"/>
      <x:c r="AN32" s="44"/>
      <x:c r="AO32" s="44"/>
      <x:c r="AP32" s="44"/>
      <x:c r="AQ32" s="44"/>
      <x:c r="AR32" s="44"/>
      <x:c r="AS32" s="44"/>
      <x:c r="AT32" s="44"/>
      <x:c r="AU32" s="44"/>
      <x:c r="AV32" s="44"/>
      <x:c r="AW32" s="44"/>
      <x:c r="AX32" s="44"/>
      <x:c r="AY32" s="44"/>
      <x:c r="A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4"/>
      <x:c r="AL33" s="44"/>
      <x:c r="AM33" s="44"/>
      <x:c r="AN33" s="44"/>
      <x:c r="AO33" s="44"/>
      <x:c r="AP33" s="44"/>
      <x:c r="AQ33" s="44"/>
      <x:c r="AR33" s="44"/>
      <x:c r="AS33" s="44"/>
      <x:c r="AT33" s="44"/>
      <x:c r="AU33" s="44"/>
      <x:c r="AV33" s="44"/>
      <x:c r="AW33" s="44"/>
      <x:c r="AX33" s="44"/>
      <x:c r="AY33" s="44"/>
      <x:c r="A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4"/>
      <x:c r="AL34" s="44"/>
      <x:c r="AM34" s="44"/>
      <x:c r="AN34" s="44"/>
      <x:c r="AO34" s="44"/>
      <x:c r="AP34" s="44"/>
      <x:c r="AQ34" s="44"/>
      <x:c r="AR34" s="44"/>
      <x:c r="AS34" s="44"/>
      <x:c r="AT34" s="44"/>
      <x:c r="AU34" s="44"/>
      <x:c r="AV34" s="44"/>
      <x:c r="AW34" s="44"/>
      <x:c r="AX34" s="44"/>
      <x:c r="AY34" s="44"/>
      <x:c r="A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4"/>
      <x:c r="AL35" s="44"/>
      <x:c r="AM35" s="44"/>
      <x:c r="AN35" s="44"/>
      <x:c r="AO35" s="44"/>
      <x:c r="AP35" s="44"/>
      <x:c r="AQ35" s="44"/>
      <x:c r="AR35" s="44"/>
      <x:c r="AS35" s="44"/>
      <x:c r="AT35" s="44"/>
      <x:c r="AU35" s="44"/>
      <x:c r="AV35" s="44"/>
      <x:c r="AW35" s="44"/>
      <x:c r="AX35" s="44"/>
      <x:c r="AY35" s="44"/>
      <x:c r="A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4"/>
      <x:c r="AL36" s="44"/>
      <x:c r="AM36" s="44"/>
      <x:c r="AN36" s="44"/>
      <x:c r="AO36" s="44"/>
      <x:c r="AP36" s="44"/>
      <x:c r="AQ36" s="44"/>
      <x:c r="AR36" s="44"/>
      <x:c r="AS36" s="44"/>
      <x:c r="AT36" s="44"/>
      <x:c r="AU36" s="44"/>
      <x:c r="AV36" s="44"/>
      <x:c r="AW36" s="44"/>
      <x:c r="AX36" s="44"/>
      <x:c r="AY36" s="44"/>
      <x:c r="A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4"/>
      <x:c r="AL37" s="44"/>
      <x:c r="AM37" s="44"/>
      <x:c r="AN37" s="44"/>
      <x:c r="AO37" s="44"/>
      <x:c r="AP37" s="44"/>
      <x:c r="AQ37" s="44"/>
      <x:c r="AR37" s="44"/>
      <x:c r="AS37" s="44"/>
      <x:c r="AT37" s="44"/>
      <x:c r="AU37" s="44"/>
      <x:c r="AV37" s="44"/>
      <x:c r="AW37" s="44"/>
      <x:c r="AX37" s="44"/>
      <x:c r="AY37" s="44"/>
      <x:c r="A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4"/>
      <x:c r="AL38" s="44"/>
      <x:c r="AM38" s="44"/>
      <x:c r="AN38" s="44"/>
      <x:c r="AO38" s="44"/>
      <x:c r="AP38" s="44"/>
      <x:c r="AQ38" s="44"/>
      <x:c r="AR38" s="44"/>
      <x:c r="AS38" s="44"/>
      <x:c r="AT38" s="44"/>
      <x:c r="AU38" s="44"/>
      <x:c r="AV38" s="44"/>
      <x:c r="AW38" s="44"/>
      <x:c r="AX38" s="44"/>
      <x:c r="AY38" s="44"/>
      <x:c r="A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4"/>
      <x:c r="AL39" s="44"/>
      <x:c r="AM39" s="44"/>
      <x:c r="AN39" s="44"/>
      <x:c r="AO39" s="44"/>
      <x:c r="AP39" s="44"/>
      <x:c r="AQ39" s="44"/>
      <x:c r="AR39" s="44"/>
      <x:c r="AS39" s="44"/>
      <x:c r="AT39" s="44"/>
      <x:c r="AU39" s="44"/>
      <x:c r="AV39" s="44"/>
      <x:c r="AW39" s="44"/>
      <x:c r="AX39" s="44"/>
      <x:c r="AY39" s="44"/>
      <x:c r="A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4"/>
      <x:c r="AL40" s="44"/>
      <x:c r="AM40" s="44"/>
      <x:c r="AN40" s="44"/>
      <x:c r="AO40" s="44"/>
      <x:c r="AP40" s="44"/>
      <x:c r="AQ40" s="44"/>
      <x:c r="AR40" s="44"/>
      <x:c r="AS40" s="44"/>
      <x:c r="AT40" s="44"/>
      <x:c r="AU40" s="44"/>
      <x:c r="AV40" s="44"/>
      <x:c r="AW40" s="44"/>
      <x:c r="AX40" s="44"/>
      <x:c r="AY40" s="44"/>
      <x:c r="A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/>
      <x:c r="AM41" s="44"/>
      <x:c r="AN41" s="44"/>
      <x:c r="AO41" s="44"/>
      <x:c r="AP41" s="44"/>
      <x:c r="AQ41" s="44"/>
      <x:c r="AR41" s="44"/>
      <x:c r="AS41" s="44"/>
      <x:c r="AT41" s="44"/>
      <x:c r="AU41" s="44"/>
      <x:c r="AV41" s="44"/>
      <x:c r="AW41" s="44"/>
      <x:c r="AX41" s="44"/>
      <x:c r="AY41" s="44"/>
      <x:c r="A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4"/>
      <x:c r="AL42" s="44"/>
      <x:c r="AM42" s="44"/>
      <x:c r="AN42" s="44"/>
      <x:c r="AO42" s="44"/>
      <x:c r="AP42" s="44"/>
      <x:c r="AQ42" s="44"/>
      <x:c r="AR42" s="44"/>
      <x:c r="AS42" s="44"/>
      <x:c r="AT42" s="44"/>
      <x:c r="AU42" s="44"/>
      <x:c r="AV42" s="44"/>
      <x:c r="AW42" s="44"/>
      <x:c r="AX42" s="44"/>
      <x:c r="AY42" s="44"/>
      <x:c r="A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4"/>
      <x:c r="AL43" s="44"/>
      <x:c r="AM43" s="44"/>
      <x:c r="AN43" s="44"/>
      <x:c r="AO43" s="44"/>
      <x:c r="AP43" s="44"/>
      <x:c r="AQ43" s="44"/>
      <x:c r="AR43" s="44"/>
      <x:c r="AS43" s="44"/>
      <x:c r="AT43" s="44"/>
      <x:c r="AU43" s="44"/>
      <x:c r="AV43" s="44"/>
      <x:c r="AW43" s="44"/>
      <x:c r="AX43" s="44"/>
      <x:c r="AY43" s="44"/>
      <x:c r="A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4"/>
      <x:c r="AL44" s="44"/>
      <x:c r="AM44" s="44"/>
      <x:c r="AN44" s="44"/>
      <x:c r="AO44" s="44"/>
      <x:c r="AP44" s="44"/>
      <x:c r="AQ44" s="44"/>
      <x:c r="AR44" s="44"/>
      <x:c r="AS44" s="44"/>
      <x:c r="AT44" s="44"/>
      <x:c r="AU44" s="44"/>
      <x:c r="AV44" s="44"/>
      <x:c r="AW44" s="44"/>
      <x:c r="AX44" s="44"/>
      <x:c r="AY44" s="44"/>
      <x:c r="A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4"/>
      <x:c r="AL45" s="44"/>
      <x:c r="AM45" s="44"/>
      <x:c r="AN45" s="44"/>
      <x:c r="AO45" s="44"/>
      <x:c r="AP45" s="44"/>
      <x:c r="AQ45" s="44"/>
      <x:c r="AR45" s="44"/>
      <x:c r="AS45" s="44"/>
      <x:c r="AT45" s="44"/>
      <x:c r="AU45" s="44"/>
      <x:c r="AV45" s="44"/>
      <x:c r="AW45" s="44"/>
      <x:c r="AX45" s="44"/>
      <x:c r="AY45" s="44"/>
      <x:c r="A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4"/>
      <x:c r="AL47" s="44"/>
      <x:c r="AM47" s="44"/>
      <x:c r="AN47" s="44"/>
      <x:c r="AO47" s="44"/>
      <x:c r="AP47" s="44"/>
      <x:c r="AQ47" s="44"/>
      <x:c r="AR47" s="44"/>
      <x:c r="AS47" s="44"/>
      <x:c r="AT47" s="44"/>
      <x:c r="AU47" s="44"/>
      <x:c r="AV47" s="44"/>
      <x:c r="AW47" s="44"/>
      <x:c r="AX47" s="44"/>
      <x:c r="AY47" s="44"/>
      <x:c r="A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4"/>
      <x:c r="AL48" s="44"/>
      <x:c r="AM48" s="44"/>
      <x:c r="AN48" s="44"/>
      <x:c r="AO48" s="44"/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4"/>
      <x:c r="AL49" s="44"/>
      <x:c r="AM49" s="44"/>
      <x:c r="AN49" s="44"/>
      <x:c r="AO49" s="44"/>
      <x:c r="AP49" s="44"/>
      <x:c r="AQ49" s="44"/>
      <x:c r="AR49" s="44"/>
      <x:c r="AS49" s="44"/>
      <x:c r="AT49" s="44"/>
      <x:c r="AU49" s="44"/>
      <x:c r="AV49" s="44"/>
      <x:c r="AW49" s="44"/>
      <x:c r="AX49" s="44"/>
      <x:c r="AY49" s="44"/>
      <x:c r="A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4"/>
      <x:c r="AL50" s="44"/>
      <x:c r="AM50" s="44"/>
      <x:c r="AN50" s="44"/>
      <x:c r="AO50" s="44"/>
      <x:c r="AP50" s="44"/>
      <x:c r="AQ50" s="44"/>
      <x:c r="AR50" s="44"/>
      <x:c r="AS50" s="44"/>
      <x:c r="AT50" s="44"/>
      <x:c r="AU50" s="44"/>
      <x:c r="AV50" s="44"/>
      <x:c r="AW50" s="44"/>
      <x:c r="AX50" s="44"/>
      <x:c r="AY50" s="44"/>
      <x:c r="A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4"/>
      <x:c r="AL51" s="44"/>
      <x:c r="AM51" s="44"/>
      <x:c r="AN51" s="44"/>
      <x:c r="AO51" s="44"/>
      <x:c r="AP51" s="44"/>
      <x:c r="AQ51" s="44"/>
      <x:c r="AR51" s="44"/>
      <x:c r="AS51" s="44"/>
      <x:c r="AT51" s="44"/>
      <x:c r="AU51" s="44"/>
      <x:c r="AV51" s="44"/>
      <x:c r="AW51" s="44"/>
      <x:c r="AX51" s="44"/>
      <x:c r="AY51" s="44"/>
      <x:c r="A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4"/>
      <x:c r="AL52" s="44"/>
      <x:c r="AM52" s="44"/>
      <x:c r="AN52" s="44"/>
      <x:c r="AO52" s="44"/>
      <x:c r="AP52" s="44"/>
      <x:c r="AQ52" s="44"/>
      <x:c r="AR52" s="44"/>
      <x:c r="AS52" s="44"/>
      <x:c r="AT52" s="44"/>
      <x:c r="AU52" s="44"/>
      <x:c r="AV52" s="44"/>
      <x:c r="AW52" s="44"/>
      <x:c r="AX52" s="44"/>
      <x:c r="AY52" s="44"/>
      <x:c r="A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4"/>
      <x:c r="AL53" s="44"/>
      <x:c r="AM53" s="44"/>
      <x:c r="AN53" s="44"/>
      <x:c r="AO53" s="44"/>
      <x:c r="AP53" s="44"/>
      <x:c r="AQ53" s="44"/>
      <x:c r="AR53" s="44"/>
      <x:c r="AS53" s="44"/>
      <x:c r="AT53" s="44"/>
      <x:c r="AU53" s="44"/>
      <x:c r="AV53" s="44"/>
      <x:c r="AW53" s="44"/>
      <x:c r="AX53" s="44"/>
      <x:c r="AY53" s="44"/>
      <x:c r="A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4"/>
      <x:c r="AL54" s="44"/>
      <x:c r="AM54" s="44"/>
      <x:c r="AN54" s="44"/>
      <x:c r="AO54" s="44"/>
      <x:c r="AP54" s="44"/>
      <x:c r="AQ54" s="44"/>
      <x:c r="AR54" s="44"/>
      <x:c r="AS54" s="44"/>
      <x:c r="AT54" s="44"/>
      <x:c r="AU54" s="44"/>
      <x:c r="AV54" s="44"/>
      <x:c r="AW54" s="44"/>
      <x:c r="AX54" s="44"/>
      <x:c r="AY54" s="44"/>
      <x:c r="A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4"/>
      <x:c r="AL55" s="44"/>
      <x:c r="AM55" s="44"/>
      <x:c r="AN55" s="44"/>
      <x:c r="AO55" s="44"/>
      <x:c r="AP55" s="44"/>
      <x:c r="AQ55" s="44"/>
      <x:c r="AR55" s="44"/>
      <x:c r="AS55" s="44"/>
      <x:c r="AT55" s="44"/>
      <x:c r="AU55" s="44"/>
      <x:c r="AV55" s="44"/>
      <x:c r="AW55" s="44"/>
      <x:c r="AX55" s="44"/>
      <x:c r="AY55" s="44"/>
      <x:c r="A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4"/>
      <x:c r="AL56" s="44"/>
      <x:c r="AM56" s="44"/>
      <x:c r="AN56" s="44"/>
      <x:c r="AO56" s="44"/>
      <x:c r="AP56" s="44"/>
      <x:c r="AQ56" s="44"/>
      <x:c r="AR56" s="44"/>
      <x:c r="AS56" s="44"/>
      <x:c r="AT56" s="44"/>
      <x:c r="AU56" s="44"/>
      <x:c r="AV56" s="44"/>
      <x:c r="AW56" s="44"/>
      <x:c r="AX56" s="44"/>
      <x:c r="AY56" s="44"/>
      <x:c r="A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4"/>
      <x:c r="AL57" s="44"/>
      <x:c r="AM57" s="44"/>
      <x:c r="AN57" s="44"/>
      <x:c r="AO57" s="44"/>
      <x:c r="AP57" s="44"/>
      <x:c r="AQ57" s="44"/>
      <x:c r="AR57" s="44"/>
      <x:c r="AS57" s="44"/>
      <x:c r="AT57" s="44"/>
      <x:c r="AU57" s="44"/>
      <x:c r="AV57" s="44"/>
      <x:c r="AW57" s="44"/>
      <x:c r="AX57" s="44"/>
      <x:c r="AY57" s="44"/>
      <x:c r="A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4"/>
      <x:c r="AL58" s="44"/>
      <x:c r="AM58" s="44"/>
      <x:c r="AN58" s="44"/>
      <x:c r="AO58" s="44"/>
      <x:c r="AP58" s="44"/>
      <x:c r="AQ58" s="44"/>
      <x:c r="AR58" s="44"/>
      <x:c r="AS58" s="44"/>
      <x:c r="AT58" s="44"/>
      <x:c r="AU58" s="44"/>
      <x:c r="AV58" s="44"/>
      <x:c r="AW58" s="44"/>
      <x:c r="AX58" s="44"/>
      <x:c r="AY58" s="44"/>
      <x:c r="A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4"/>
      <x:c r="AL59" s="44"/>
      <x:c r="AM59" s="44"/>
      <x:c r="AN59" s="44"/>
      <x:c r="AO59" s="44"/>
      <x:c r="AP59" s="44"/>
      <x:c r="AQ59" s="44"/>
      <x:c r="AR59" s="44"/>
      <x:c r="AS59" s="44"/>
      <x:c r="AT59" s="44"/>
      <x:c r="AU59" s="44"/>
      <x:c r="AV59" s="44"/>
      <x:c r="AW59" s="44"/>
      <x:c r="AX59" s="44"/>
      <x:c r="AY59" s="44"/>
      <x:c r="A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4"/>
      <x:c r="AL60" s="44"/>
      <x:c r="AM60" s="44"/>
      <x:c r="AN60" s="44"/>
      <x:c r="AO60" s="44"/>
      <x:c r="AP60" s="44"/>
      <x:c r="AQ60" s="44"/>
      <x:c r="AR60" s="44"/>
      <x:c r="AS60" s="44"/>
      <x:c r="AT60" s="44"/>
      <x:c r="AU60" s="44"/>
      <x:c r="AV60" s="44"/>
      <x:c r="AW60" s="44"/>
      <x:c r="AX60" s="44"/>
      <x:c r="AY60" s="44"/>
      <x:c r="A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4"/>
      <x:c r="AL61" s="44"/>
      <x:c r="AM61" s="44"/>
      <x:c r="AN61" s="44"/>
      <x:c r="AO61" s="44"/>
      <x:c r="AP61" s="44"/>
      <x:c r="AQ61" s="44"/>
      <x:c r="AR61" s="44"/>
      <x:c r="AS61" s="44"/>
      <x:c r="AT61" s="44"/>
      <x:c r="AU61" s="44"/>
      <x:c r="AV61" s="44"/>
      <x:c r="AW61" s="44"/>
      <x:c r="AX61" s="44"/>
      <x:c r="AY61" s="44"/>
      <x:c r="A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4"/>
      <x:c r="AL62" s="44"/>
      <x:c r="AM62" s="44"/>
      <x:c r="AN62" s="44"/>
      <x:c r="AO62" s="44"/>
      <x:c r="AP62" s="44"/>
      <x:c r="AQ62" s="44"/>
      <x:c r="AR62" s="44"/>
      <x:c r="AS62" s="44"/>
      <x:c r="AT62" s="44"/>
      <x:c r="AU62" s="44"/>
      <x:c r="AV62" s="44"/>
      <x:c r="AW62" s="44"/>
      <x:c r="AX62" s="44"/>
      <x:c r="AY62" s="44"/>
      <x:c r="A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4"/>
      <x:c r="AL63" s="44"/>
      <x:c r="AM63" s="44"/>
      <x:c r="AN63" s="44"/>
      <x:c r="AO63" s="44"/>
      <x:c r="AP63" s="44"/>
      <x:c r="AQ63" s="44"/>
      <x:c r="AR63" s="44"/>
      <x:c r="AS63" s="44"/>
      <x:c r="AT63" s="44"/>
      <x:c r="AU63" s="44"/>
      <x:c r="AV63" s="44"/>
      <x:c r="AW63" s="44"/>
      <x:c r="AX63" s="44"/>
      <x:c r="AY63" s="44"/>
      <x:c r="A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4"/>
      <x:c r="AL64" s="44"/>
      <x:c r="AM64" s="44"/>
      <x:c r="AN64" s="44"/>
      <x:c r="AO64" s="44"/>
      <x:c r="AP64" s="44"/>
      <x:c r="AQ64" s="44"/>
      <x:c r="AR64" s="44"/>
      <x:c r="AS64" s="44"/>
      <x:c r="AT64" s="44"/>
      <x:c r="AU64" s="44"/>
      <x:c r="AV64" s="44"/>
      <x:c r="AW64" s="44"/>
      <x:c r="AX64" s="44"/>
      <x:c r="AY64" s="44"/>
      <x:c r="A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4"/>
      <x:c r="AL65" s="44"/>
      <x:c r="AM65" s="44"/>
      <x:c r="AN65" s="44"/>
      <x:c r="AO65" s="44"/>
      <x:c r="AP65" s="44"/>
      <x:c r="AQ65" s="44"/>
      <x:c r="AR65" s="44"/>
      <x:c r="AS65" s="44"/>
      <x:c r="AT65" s="44"/>
      <x:c r="AU65" s="44"/>
      <x:c r="AV65" s="44"/>
      <x:c r="AW65" s="44"/>
      <x:c r="AX65" s="44"/>
      <x:c r="AY65" s="44"/>
      <x:c r="A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4"/>
      <x:c r="AL66" s="44"/>
      <x:c r="AM66" s="44"/>
      <x:c r="AN66" s="44"/>
      <x:c r="AO66" s="44"/>
      <x:c r="AP66" s="44"/>
      <x:c r="AQ66" s="44"/>
      <x:c r="AR66" s="44"/>
      <x:c r="AS66" s="44"/>
      <x:c r="AT66" s="44"/>
      <x:c r="AU66" s="44"/>
      <x:c r="AV66" s="44"/>
      <x:c r="AW66" s="44"/>
      <x:c r="AX66" s="44"/>
      <x:c r="AY66" s="44"/>
      <x:c r="A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4"/>
      <x:c r="AL67" s="44"/>
      <x:c r="AM67" s="44"/>
      <x:c r="AN67" s="44"/>
      <x:c r="AO67" s="44"/>
      <x:c r="AP67" s="44"/>
      <x:c r="AQ67" s="44"/>
      <x:c r="AR67" s="44"/>
      <x:c r="AS67" s="44"/>
      <x:c r="AT67" s="44"/>
      <x:c r="AU67" s="44"/>
      <x:c r="AV67" s="44"/>
      <x:c r="AW67" s="44"/>
      <x:c r="AX67" s="44"/>
      <x:c r="AY67" s="44"/>
      <x:c r="A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4"/>
      <x:c r="AL76" s="44"/>
      <x:c r="AM76" s="44"/>
      <x:c r="AN76" s="44"/>
      <x:c r="AO76" s="44"/>
      <x:c r="AP76" s="44"/>
      <x:c r="AQ76" s="44"/>
      <x:c r="AR76" s="44"/>
      <x:c r="AS76" s="44"/>
      <x:c r="AT76" s="44"/>
      <x:c r="AU76" s="44"/>
      <x:c r="AV76" s="44"/>
      <x:c r="AW76" s="44"/>
      <x:c r="AX76" s="44"/>
      <x:c r="AY76" s="44"/>
      <x:c r="A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4"/>
      <x:c r="AL77" s="44"/>
      <x:c r="AM77" s="44"/>
      <x:c r="AN77" s="44"/>
      <x:c r="AO77" s="44"/>
      <x:c r="AP77" s="44"/>
      <x:c r="AQ77" s="44"/>
      <x:c r="AR77" s="44"/>
      <x:c r="AS77" s="44"/>
      <x:c r="AT77" s="44"/>
      <x:c r="AU77" s="44"/>
      <x:c r="AV77" s="44"/>
      <x:c r="AW77" s="44"/>
      <x:c r="AX77" s="44"/>
      <x:c r="AY77" s="44"/>
      <x:c r="A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4"/>
      <x:c r="AL78" s="44"/>
      <x:c r="AM78" s="44"/>
      <x:c r="AN78" s="44"/>
      <x:c r="AO78" s="44"/>
      <x:c r="AP78" s="44"/>
      <x:c r="AQ78" s="44"/>
      <x:c r="AR78" s="44"/>
      <x:c r="AS78" s="44"/>
      <x:c r="AT78" s="44"/>
      <x:c r="AU78" s="44"/>
      <x:c r="AV78" s="44"/>
      <x:c r="AW78" s="44"/>
      <x:c r="AX78" s="44"/>
      <x:c r="AY78" s="44"/>
      <x:c r="A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4"/>
      <x:c r="AL79" s="44"/>
      <x:c r="AM79" s="44"/>
      <x:c r="AN79" s="44"/>
      <x:c r="AO79" s="44"/>
      <x:c r="AP79" s="44"/>
      <x:c r="AQ79" s="44"/>
      <x:c r="AR79" s="44"/>
      <x:c r="AS79" s="44"/>
      <x:c r="AT79" s="44"/>
      <x:c r="AU79" s="44"/>
      <x:c r="AV79" s="44"/>
      <x:c r="AW79" s="44"/>
      <x:c r="AX79" s="44"/>
      <x:c r="AY79" s="44"/>
      <x:c r="A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4"/>
      <x:c r="AL80" s="44"/>
      <x:c r="AM80" s="44"/>
      <x:c r="AN80" s="44"/>
      <x:c r="AO80" s="44"/>
      <x:c r="AP80" s="44"/>
      <x:c r="AQ80" s="44"/>
      <x:c r="AR80" s="44"/>
      <x:c r="AS80" s="44"/>
      <x:c r="AT80" s="44"/>
      <x:c r="AU80" s="44"/>
      <x:c r="AV80" s="44"/>
      <x:c r="AW80" s="44"/>
      <x:c r="AX80" s="44"/>
      <x:c r="AY80" s="44"/>
      <x:c r="A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4"/>
      <x:c r="AL81" s="44"/>
      <x:c r="AM81" s="44"/>
      <x:c r="AN81" s="44"/>
      <x:c r="AO81" s="44"/>
      <x:c r="AP81" s="44"/>
      <x:c r="AQ81" s="44"/>
      <x:c r="AR81" s="44"/>
      <x:c r="AS81" s="44"/>
      <x:c r="AT81" s="44"/>
      <x:c r="AU81" s="44"/>
      <x:c r="AV81" s="44"/>
      <x:c r="AW81" s="44"/>
      <x:c r="AX81" s="44"/>
      <x:c r="AY81" s="44"/>
      <x:c r="A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4"/>
      <x:c r="AL82" s="44"/>
      <x:c r="AM82" s="44"/>
      <x:c r="AN82" s="44"/>
      <x:c r="AO82" s="44"/>
      <x:c r="AP82" s="44"/>
      <x:c r="AQ82" s="44"/>
      <x:c r="AR82" s="44"/>
      <x:c r="AS82" s="44"/>
      <x:c r="AT82" s="44"/>
      <x:c r="AU82" s="44"/>
      <x:c r="AV82" s="44"/>
      <x:c r="AW82" s="44"/>
      <x:c r="AX82" s="44"/>
      <x:c r="AY82" s="44"/>
      <x:c r="A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4"/>
      <x:c r="AL83" s="44"/>
      <x:c r="AM83" s="44"/>
      <x:c r="AN83" s="44"/>
      <x:c r="AO83" s="44"/>
      <x:c r="AP83" s="44"/>
      <x:c r="AQ83" s="44"/>
      <x:c r="AR83" s="44"/>
      <x:c r="AS83" s="44"/>
      <x:c r="AT83" s="44"/>
      <x:c r="AU83" s="44"/>
      <x:c r="AV83" s="44"/>
      <x:c r="AW83" s="44"/>
      <x:c r="AX83" s="44"/>
      <x:c r="AY83" s="44"/>
      <x:c r="A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4"/>
      <x:c r="AL84" s="44"/>
      <x:c r="AM84" s="44"/>
      <x:c r="AN84" s="44"/>
      <x:c r="AO84" s="44"/>
      <x:c r="AP84" s="44"/>
      <x:c r="AQ84" s="44"/>
      <x:c r="AR84" s="44"/>
      <x:c r="AS84" s="44"/>
      <x:c r="AT84" s="44"/>
      <x:c r="AU84" s="44"/>
      <x:c r="AV84" s="44"/>
      <x:c r="AW84" s="44"/>
      <x:c r="AX84" s="44"/>
      <x:c r="AY84" s="44"/>
      <x:c r="A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4"/>
      <x:c r="AL85" s="44"/>
      <x:c r="AM85" s="44"/>
      <x:c r="AN85" s="44"/>
      <x:c r="AO85" s="44"/>
      <x:c r="AP85" s="44"/>
      <x:c r="AQ85" s="44"/>
      <x:c r="AR85" s="44"/>
      <x:c r="AS85" s="44"/>
      <x:c r="AT85" s="44"/>
      <x:c r="AU85" s="44"/>
      <x:c r="AV85" s="44"/>
      <x:c r="AW85" s="44"/>
      <x:c r="AX85" s="44"/>
      <x:c r="AY85" s="44"/>
      <x:c r="A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4"/>
      <x:c r="AL86" s="44"/>
      <x:c r="AM86" s="44"/>
      <x:c r="AN86" s="44"/>
      <x:c r="AO86" s="44"/>
      <x:c r="AP86" s="44"/>
      <x:c r="AQ86" s="44"/>
      <x:c r="AR86" s="44"/>
      <x:c r="AS86" s="44"/>
      <x:c r="AT86" s="44"/>
      <x:c r="AU86" s="44"/>
      <x:c r="AV86" s="44"/>
      <x:c r="AW86" s="44"/>
      <x:c r="AX86" s="44"/>
      <x:c r="AY86" s="44"/>
      <x:c r="A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4"/>
      <x:c r="AL87" s="44"/>
      <x:c r="AM87" s="44"/>
      <x:c r="AN87" s="44"/>
      <x:c r="AO87" s="44"/>
      <x:c r="AP87" s="44"/>
      <x:c r="AQ87" s="44"/>
      <x:c r="AR87" s="44"/>
      <x:c r="AS87" s="44"/>
      <x:c r="AT87" s="44"/>
      <x:c r="AU87" s="44"/>
      <x:c r="AV87" s="44"/>
      <x:c r="AW87" s="44"/>
      <x:c r="AX87" s="44"/>
      <x:c r="AY87" s="44"/>
      <x:c r="A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4"/>
      <x:c r="AL88" s="44"/>
      <x:c r="AM88" s="44"/>
      <x:c r="AN88" s="44"/>
      <x:c r="AO88" s="44"/>
      <x:c r="AP88" s="44"/>
      <x:c r="AQ88" s="44"/>
      <x:c r="AR88" s="44"/>
      <x:c r="AS88" s="44"/>
      <x:c r="AT88" s="44"/>
      <x:c r="AU88" s="44"/>
      <x:c r="AV88" s="44"/>
      <x:c r="AW88" s="44"/>
      <x:c r="AX88" s="44"/>
      <x:c r="AY88" s="44"/>
      <x:c r="A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4"/>
      <x:c r="AL89" s="44"/>
      <x:c r="AM89" s="44"/>
      <x:c r="AN89" s="44"/>
      <x:c r="AO89" s="44"/>
      <x:c r="AP89" s="44"/>
      <x:c r="AQ89" s="44"/>
      <x:c r="AR89" s="44"/>
      <x:c r="AS89" s="44"/>
      <x:c r="AT89" s="44"/>
      <x:c r="AU89" s="44"/>
      <x:c r="AV89" s="44"/>
      <x:c r="AW89" s="44"/>
      <x:c r="AX89" s="44"/>
      <x:c r="AY89" s="44"/>
      <x:c r="A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4"/>
      <x:c r="AL90" s="44"/>
      <x:c r="AM90" s="44"/>
      <x:c r="AN90" s="44"/>
      <x:c r="AO90" s="44"/>
      <x:c r="AP90" s="44"/>
      <x:c r="AQ90" s="44"/>
      <x:c r="AR90" s="44"/>
      <x:c r="AS90" s="44"/>
      <x:c r="AT90" s="44"/>
      <x:c r="AU90" s="44"/>
      <x:c r="AV90" s="44"/>
      <x:c r="AW90" s="44"/>
      <x:c r="AX90" s="44"/>
      <x:c r="AY90" s="44"/>
      <x:c r="A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4"/>
      <x:c r="AL91" s="44"/>
      <x:c r="AM91" s="44"/>
      <x:c r="AN91" s="44"/>
      <x:c r="AO91" s="44"/>
      <x:c r="AP91" s="44"/>
      <x:c r="AQ91" s="44"/>
      <x:c r="AR91" s="44"/>
      <x:c r="AS91" s="44"/>
      <x:c r="AT91" s="44"/>
      <x:c r="AU91" s="44"/>
      <x:c r="AV91" s="44"/>
      <x:c r="AW91" s="44"/>
      <x:c r="AX91" s="44"/>
      <x:c r="AY91" s="44"/>
      <x:c r="A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4"/>
      <x:c r="AL92" s="44"/>
      <x:c r="AM92" s="44"/>
      <x:c r="AN92" s="44"/>
      <x:c r="AO92" s="44"/>
      <x:c r="AP92" s="44"/>
      <x:c r="AQ92" s="44"/>
      <x:c r="AR92" s="44"/>
      <x:c r="AS92" s="44"/>
      <x:c r="AT92" s="44"/>
      <x:c r="AU92" s="44"/>
      <x:c r="AV92" s="44"/>
      <x:c r="AW92" s="44"/>
      <x:c r="AX92" s="44"/>
      <x:c r="AY92" s="44"/>
      <x:c r="A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4"/>
      <x:c r="AL93" s="44"/>
      <x:c r="AM93" s="44"/>
      <x:c r="AN93" s="44"/>
      <x:c r="AO93" s="44"/>
      <x:c r="AP93" s="44"/>
      <x:c r="AQ93" s="44"/>
      <x:c r="AR93" s="44"/>
      <x:c r="AS93" s="44"/>
      <x:c r="AT93" s="44"/>
      <x:c r="AU93" s="44"/>
      <x:c r="AV93" s="44"/>
      <x:c r="AW93" s="44"/>
      <x:c r="AX93" s="44"/>
      <x:c r="AY93" s="44"/>
      <x:c r="A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4"/>
      <x:c r="AL94" s="44"/>
      <x:c r="AM94" s="44"/>
      <x:c r="AN94" s="44"/>
      <x:c r="AO94" s="44"/>
      <x:c r="AP94" s="44"/>
      <x:c r="AQ94" s="44"/>
      <x:c r="AR94" s="44"/>
      <x:c r="AS94" s="44"/>
      <x:c r="AT94" s="44"/>
      <x:c r="AU94" s="44"/>
      <x:c r="AV94" s="44"/>
      <x:c r="AW94" s="44"/>
      <x:c r="AX94" s="44"/>
      <x:c r="AY94" s="44"/>
      <x:c r="A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4"/>
      <x:c r="AL96" s="44"/>
      <x:c r="AM96" s="44"/>
      <x:c r="AN96" s="44"/>
      <x:c r="AO96" s="44"/>
      <x:c r="AP96" s="44"/>
      <x:c r="AQ96" s="44"/>
      <x:c r="AR96" s="44"/>
      <x:c r="AS96" s="44"/>
      <x:c r="AT96" s="44"/>
      <x:c r="AU96" s="44"/>
      <x:c r="AV96" s="44"/>
      <x:c r="AW96" s="44"/>
      <x:c r="AX96" s="44"/>
      <x:c r="AY96" s="44"/>
      <x:c r="A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4"/>
      <x:c r="AL97" s="44"/>
      <x:c r="AM97" s="44"/>
      <x:c r="AN97" s="44"/>
      <x:c r="AO97" s="44"/>
      <x:c r="AP97" s="44"/>
      <x:c r="AQ97" s="44"/>
      <x:c r="AR97" s="44"/>
      <x:c r="AS97" s="44"/>
      <x:c r="AT97" s="44"/>
      <x:c r="AU97" s="44"/>
      <x:c r="AV97" s="44"/>
      <x:c r="AW97" s="44"/>
      <x:c r="AX97" s="44"/>
      <x:c r="AY97" s="44"/>
      <x:c r="A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4"/>
      <x:c r="AL98" s="44"/>
      <x:c r="AM98" s="44"/>
      <x:c r="AN98" s="44"/>
      <x:c r="AO98" s="44"/>
      <x:c r="AP98" s="44"/>
      <x:c r="AQ98" s="44"/>
      <x:c r="AR98" s="44"/>
      <x:c r="AS98" s="44"/>
      <x:c r="AT98" s="44"/>
      <x:c r="AU98" s="44"/>
      <x:c r="AV98" s="44"/>
      <x:c r="AW98" s="44"/>
      <x:c r="AX98" s="44"/>
      <x:c r="AY98" s="44"/>
      <x:c r="A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4"/>
      <x:c r="AL99" s="44"/>
      <x:c r="AM99" s="44"/>
      <x:c r="AN99" s="44"/>
      <x:c r="AO99" s="44"/>
      <x:c r="AP99" s="44"/>
      <x:c r="AQ99" s="44"/>
      <x:c r="AR99" s="44"/>
      <x:c r="AS99" s="44"/>
      <x:c r="AT99" s="44"/>
      <x:c r="AU99" s="44"/>
      <x:c r="AV99" s="44"/>
      <x:c r="AW99" s="44"/>
      <x:c r="AX99" s="44"/>
      <x:c r="AY99" s="44"/>
      <x:c r="A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4"/>
      <x:c r="AL100" s="44"/>
      <x:c r="AM100" s="44"/>
      <x:c r="AN100" s="44"/>
      <x:c r="AO100" s="44"/>
      <x:c r="AP100" s="44"/>
      <x:c r="AQ100" s="44"/>
      <x:c r="AR100" s="44"/>
      <x:c r="AS100" s="44"/>
      <x:c r="AT100" s="44"/>
      <x:c r="AU100" s="44"/>
      <x:c r="AV100" s="44"/>
      <x:c r="AW100" s="44"/>
      <x:c r="AX100" s="44"/>
      <x:c r="AY100" s="44"/>
      <x:c r="AZ100" s="44"/>
    </x:row>
  </x:sheetData>
  <x:mergeCells>
    <x:mergeCell ref="A1:AG2"/>
  </x:mergeCells>
  <x:conditionalFormatting sqref="AE5:AE9">
    <x:cfRule type="expression" dxfId="2" priority="1">
      <x:formula>AE5="YES"</x:formula>
    </x:cfRule>
    <x:cfRule type="expression" dxfId="3" priority="2">
      <x:formula>AE5="NO"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90dd8a2de446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6" hidden="0" customWidth="1"/>
  </x:cols>
  <x:sheetData>
    <x:row r="1">
      <x:c r="A1" s="5" t="str">
        <x:v>Aggregate Validation Metrics</x:v>
      </x:c>
      <x:c r="B1" s="5"/>
      <x:c r="C1" s="5"/>
      <x:c r="D1" s="5"/>
      <x:c r="E1" s="5"/>
      <x:c r="F1" s="5"/>
      <x:c r="G1" s="5"/>
      <x:c r="H1" s="5"/>
      <x:c r="I1" s="5"/>
      <x:c r="J1" s="5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  <x:c r="AA1" s="44"/>
      <x:c r="AB1" s="44"/>
      <x:c r="AC1" s="44"/>
      <x:c r="AD1" s="44"/>
      <x:c r="AE1" s="44"/>
      <x:c r="AF1" s="44"/>
      <x:c r="AG1" s="44"/>
      <x:c r="AH1" s="44"/>
      <x:c r="AI1" s="44"/>
      <x:c r="AJ1" s="44"/>
      <x:c r="AK1" s="44"/>
      <x:c r="AL1" s="44"/>
      <x:c r="AM1" s="44"/>
      <x:c r="AN1" s="44"/>
      <x:c r="AO1" s="44"/>
      <x:c r="AP1" s="44"/>
      <x:c r="AQ1" s="44"/>
      <x:c r="AR1" s="44"/>
      <x:c r="AS1" s="44"/>
      <x:c r="AT1" s="44"/>
      <x:c r="AU1" s="44"/>
      <x:c r="AV1" s="44"/>
      <x:c r="AW1" s="44"/>
      <x:c r="AX1" s="44"/>
      <x:c r="AY1" s="44"/>
      <x:c r="AZ1" s="44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</x:row>
    <x:row r="4">
      <x:c r="A4" s="22" t="str">
        <x:v>Parameter</x:v>
      </x:c>
      <x:c r="B4" s="22" t="str">
        <x:v>Unit</x:v>
      </x:c>
      <x:c r="C4" s="22" t="str">
        <x:v>MAE</x:v>
      </x:c>
      <x:c r="D4" s="22" t="str">
        <x:v>RMSE</x:v>
      </x:c>
      <x:c r="E4" s="22" t="str">
        <x:v>MAPE (%)</x:v>
      </x:c>
      <x:c r="F4" s="22" t="str">
        <x:v>Maximum absolute error</x:v>
      </x:c>
      <x:c r="G4" s="22" t="str">
        <x:v>R²</x:v>
      </x:c>
      <x:c r="H4" s="22" t="str">
        <x:v>Bias</x:v>
      </x:c>
      <x:c r="I4" s="22" t="str">
        <x:v>NRMSE (%)</x:v>
      </x:c>
      <x:c r="J4" s="22" t="str">
        <x:v>Acceptance / status</x:v>
      </x:c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K4" s="44"/>
      <x:c r="AL4" s="44"/>
      <x:c r="AM4" s="44"/>
      <x:c r="AN4" s="44"/>
      <x:c r="AO4" s="44"/>
      <x:c r="AP4" s="44"/>
      <x:c r="AQ4" s="44"/>
      <x:c r="AR4" s="44"/>
      <x:c r="AS4" s="44"/>
      <x:c r="AT4" s="44"/>
      <x:c r="AU4" s="44"/>
      <x:c r="AV4" s="44"/>
      <x:c r="AW4" s="44"/>
      <x:c r="AX4" s="44"/>
      <x:c r="AY4" s="44"/>
      <x:c r="AZ4" s="44"/>
    </x:row>
    <x:row r="5">
      <x:c r="A5" s="44" t="str">
        <x:v>Maximum chip temperature</x:v>
      </x:c>
      <x:c r="B5" s="44" t="str">
        <x:v>°C</x:v>
      </x:c>
      <x:c r="C5" s="48" t="n">
        <x:v>0.05066101008551129</x:v>
      </x:c>
      <x:c r="D5" s="48" t="n">
        <x:v>0.05735867000064249</x:v>
      </x:c>
      <x:c r="E5" s="48" t="n">
        <x:v>0.05268083079518927</x:v>
      </x:c>
      <x:c r="F5" s="48" t="n">
        <x:v>0.09942637975504454</x:v>
      </x:c>
      <x:c r="G5" s="48" t="n">
        <x:v>0.9999939495831511</x:v>
      </x:c>
      <x:c r="H5" s="48" t="n">
        <x:v>0.01838333478546872</x:v>
      </x:c>
      <x:c r="I5" s="48" t="n">
        <x:v>0.06279523781046849</x:v>
      </x:c>
      <x:c r="J5" s="47" t="str">
        <x:v>Max absolute error ≤ 2 °C — PASS</x:v>
      </x:c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  <x:c r="AA5" s="44"/>
      <x:c r="AB5" s="44"/>
      <x:c r="AC5" s="44"/>
      <x:c r="AD5" s="44"/>
      <x:c r="AE5" s="44"/>
      <x:c r="AF5" s="44"/>
      <x:c r="AG5" s="44"/>
      <x:c r="AH5" s="44"/>
      <x:c r="AI5" s="44"/>
      <x:c r="AJ5" s="44"/>
      <x:c r="AK5" s="44"/>
      <x:c r="AL5" s="44"/>
      <x:c r="AM5" s="44"/>
      <x:c r="AN5" s="44"/>
      <x:c r="AO5" s="44"/>
      <x:c r="AP5" s="44"/>
      <x:c r="AQ5" s="44"/>
      <x:c r="AR5" s="44"/>
      <x:c r="AS5" s="44"/>
      <x:c r="AT5" s="44"/>
      <x:c r="AU5" s="44"/>
      <x:c r="AV5" s="44"/>
      <x:c r="AW5" s="44"/>
      <x:c r="AX5" s="44"/>
      <x:c r="AY5" s="44"/>
      <x:c r="AZ5" s="44"/>
    </x:row>
    <x:row r="6">
      <x:c r="A6" s="44" t="str">
        <x:v>System thermal resistance</x:v>
      </x:c>
      <x:c r="B6" s="44" t="str">
        <x:v>K/W</x:v>
      </x:c>
      <x:c r="C6" s="48" t="n">
        <x:v>0.0005066101008551315</x:v>
      </x:c>
      <x:c r="D6" s="48" t="n">
        <x:v>0.0005735867000064314</x:v>
      </x:c>
      <x:c r="E6" s="48" t="n">
        <x:v>0.07355463154175496</x:v>
      </x:c>
      <x:c r="F6" s="48" t="n">
        <x:v>0.0009942637975504098</x:v>
      </x:c>
      <x:c r="G6" s="48" t="n">
        <x:v>0.9999939495831511</x:v>
      </x:c>
      <x:c r="H6" s="48" t="n">
        <x:v>0.0001838333478546561</x:v>
      </x:c>
      <x:c r="I6" s="48" t="n">
        <x:v>0.08645855448868744</x:v>
      </x:c>
      <x:c r="J6" s="47" t="str">
        <x:v>MAPE ≤ 5% — PASS</x:v>
      </x:c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  <x:c r="AA6" s="44"/>
      <x:c r="AB6" s="44"/>
      <x:c r="AC6" s="44"/>
      <x:c r="AD6" s="44"/>
      <x:c r="AE6" s="44"/>
      <x:c r="AF6" s="44"/>
      <x:c r="AG6" s="44"/>
      <x:c r="AH6" s="44"/>
      <x:c r="AI6" s="44"/>
      <x:c r="AJ6" s="44"/>
      <x:c r="AK6" s="44"/>
      <x:c r="AL6" s="44"/>
      <x:c r="AM6" s="44"/>
      <x:c r="AN6" s="44"/>
      <x:c r="AO6" s="44"/>
      <x:c r="AP6" s="44"/>
      <x:c r="AQ6" s="44"/>
      <x:c r="AR6" s="44"/>
      <x:c r="AS6" s="44"/>
      <x:c r="AT6" s="44"/>
      <x:c r="AU6" s="44"/>
      <x:c r="AV6" s="44"/>
      <x:c r="AW6" s="44"/>
      <x:c r="AX6" s="44"/>
      <x:c r="AY6" s="44"/>
      <x:c r="AZ6" s="44"/>
    </x:row>
    <x:row r="7">
      <x:c r="A7" s="44" t="str">
        <x:v>Mass-weighted outlet temperature</x:v>
      </x:c>
      <x:c r="B7" s="44" t="str">
        <x:v>°C</x:v>
      </x:c>
      <x:c r="C7" s="48" t="n">
        <x:v>0.1266422804701534</x:v>
      </x:c>
      <x:c r="D7" s="48" t="n">
        <x:v>0.13128694835996063</x:v>
      </x:c>
      <x:c r="E7" s="48" t="n">
        <x:v>0.39502549113540836</x:v>
      </x:c>
      <x:c r="F7" s="48" t="n">
        <x:v>0.15725144125072532</x:v>
      </x:c>
      <x:c r="G7" s="48" t="n">
        <x:v>0.997317964539633</x:v>
      </x:c>
      <x:c r="H7" s="48" t="n">
        <x:v>0.10268011034265782</x:v>
      </x:c>
      <x:c r="I7" s="48" t="n">
        <x:v>0.4063592570316691</x:v>
      </x:c>
      <x:c r="J7" s="47" t="str">
        <x:v>Max absolute error ≤ 0.5 °C — PASS</x:v>
      </x:c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  <x:c r="AH7" s="44"/>
      <x:c r="AI7" s="44"/>
      <x:c r="AJ7" s="44"/>
      <x:c r="AK7" s="44"/>
      <x:c r="AL7" s="44"/>
      <x:c r="AM7" s="44"/>
      <x:c r="AN7" s="44"/>
      <x:c r="AO7" s="44"/>
      <x:c r="AP7" s="44"/>
      <x:c r="AQ7" s="44"/>
      <x:c r="AR7" s="44"/>
      <x:c r="AS7" s="44"/>
      <x:c r="AT7" s="44"/>
      <x:c r="AU7" s="44"/>
      <x:c r="AV7" s="44"/>
      <x:c r="AW7" s="44"/>
      <x:c r="AX7" s="44"/>
      <x:c r="AY7" s="44"/>
      <x:c r="AZ7" s="44"/>
    </x:row>
    <x:row r="8">
      <x:c r="A8" s="44" t="str">
        <x:v>Pressure drop</x:v>
      </x:c>
      <x:c r="B8" s="44" t="str">
        <x:v>Pa</x:v>
      </x:c>
      <x:c r="C8" s="48" t="n">
        <x:v>2.7943329425997945</x:v>
      </x:c>
      <x:c r="D8" s="48" t="n">
        <x:v>3.367598837356136</x:v>
      </x:c>
      <x:c r="E8" s="48" t="n">
        <x:v>0.046623617352378396</x:v>
      </x:c>
      <x:c r="F8" s="48" t="n">
        <x:v>5.011511254118886</x:v>
      </x:c>
      <x:c r="G8" s="48" t="n">
        <x:v>0.9999980115153418</x:v>
      </x:c>
      <x:c r="H8" s="48" t="n">
        <x:v>-0.7897284409522399</x:v>
      </x:c>
      <x:c r="I8" s="48" t="n">
        <x:v>0.044736402700977194</x:v>
      </x:c>
      <x:c r="J8" s="47" t="str">
        <x:v>MAPE ≤ 5% — PASS</x:v>
      </x:c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  <x:c r="AA8" s="44"/>
      <x:c r="AB8" s="44"/>
      <x:c r="AC8" s="44"/>
      <x:c r="AD8" s="44"/>
      <x:c r="AE8" s="44"/>
      <x:c r="AF8" s="44"/>
      <x:c r="AG8" s="44"/>
      <x:c r="AH8" s="44"/>
      <x:c r="AI8" s="44"/>
      <x:c r="AJ8" s="44"/>
      <x:c r="AK8" s="44"/>
      <x:c r="AL8" s="44"/>
      <x:c r="AM8" s="44"/>
      <x:c r="AN8" s="44"/>
      <x:c r="AO8" s="44"/>
      <x:c r="AP8" s="44"/>
      <x:c r="AQ8" s="44"/>
      <x:c r="AR8" s="44"/>
      <x:c r="AS8" s="44"/>
      <x:c r="AT8" s="44"/>
      <x:c r="AU8" s="44"/>
      <x:c r="AV8" s="44"/>
      <x:c r="AW8" s="44"/>
      <x:c r="AX8" s="44"/>
      <x:c r="AY8" s="44"/>
      <x:c r="AZ8" s="44"/>
    </x:row>
    <x:row r="9">
      <x:c r="A9" s="44" t="str">
        <x:v>Pumping power</x:v>
      </x:c>
      <x:c r="B9" s="44" t="str">
        <x:v>W</x:v>
      </x:c>
      <x:c r="C9" s="48" t="n">
        <x:v>0.000009740769499091625</x:v>
      </x:c>
      <x:c r="D9" s="48" t="n">
        <x:v>0.000011933035408572476</x:v>
      </x:c>
      <x:c r="E9" s="48" t="n">
        <x:v>0.04662361735237581</x:v>
      </x:c>
      <x:c r="F9" s="48" t="n">
        <x:v>0.00002186766324725059</x:v>
      </x:c>
      <x:c r="G9" s="48" t="n">
        <x:v>0.99999937166757</x:v>
      </x:c>
      <x:c r="H9" s="48" t="n">
        <x:v>-0.000005731560495796442</x:v>
      </x:c>
      <x:c r="I9" s="48" t="n">
        <x:v>0.040493690187602085</x:v>
      </x:c>
      <x:c r="J9" s="47" t="str">
        <x:v>MAPE ≤ 5% — PASS</x:v>
      </x:c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  <x:c r="AA9" s="44"/>
      <x:c r="AB9" s="44"/>
      <x:c r="AC9" s="44"/>
      <x:c r="AD9" s="44"/>
      <x:c r="AE9" s="44"/>
      <x:c r="AF9" s="44"/>
      <x:c r="AG9" s="44"/>
      <x:c r="AH9" s="44"/>
      <x:c r="AI9" s="44"/>
      <x:c r="AJ9" s="44"/>
      <x:c r="AK9" s="44"/>
      <x:c r="AL9" s="44"/>
      <x:c r="AM9" s="44"/>
      <x:c r="AN9" s="44"/>
      <x:c r="AO9" s="44"/>
      <x:c r="AP9" s="44"/>
      <x:c r="AQ9" s="44"/>
      <x:c r="AR9" s="44"/>
      <x:c r="AS9" s="44"/>
      <x:c r="AT9" s="44"/>
      <x:c r="AU9" s="44"/>
      <x:c r="AV9" s="44"/>
      <x:c r="AW9" s="44"/>
      <x:c r="AX9" s="44"/>
      <x:c r="AY9" s="44"/>
      <x:c r="A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4"/>
      <x:c r="AL10" s="44"/>
      <x:c r="AM10" s="44"/>
      <x:c r="AN10" s="44"/>
      <x:c r="AO10" s="44"/>
      <x:c r="AP10" s="44"/>
      <x:c r="AQ10" s="44"/>
      <x:c r="AR10" s="44"/>
      <x:c r="AS10" s="44"/>
      <x:c r="AT10" s="44"/>
      <x:c r="AU10" s="44"/>
      <x:c r="AV10" s="44"/>
      <x:c r="AW10" s="44"/>
      <x:c r="AX10" s="44"/>
      <x:c r="AY10" s="44"/>
      <x:c r="A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4"/>
      <x:c r="AL11" s="44"/>
      <x:c r="AM11" s="44"/>
      <x:c r="AN11" s="44"/>
      <x:c r="AO11" s="44"/>
      <x:c r="AP11" s="44"/>
      <x:c r="AQ11" s="44"/>
      <x:c r="AR11" s="44"/>
      <x:c r="AS11" s="44"/>
      <x:c r="AT11" s="44"/>
      <x:c r="AU11" s="44"/>
      <x:c r="AV11" s="44"/>
      <x:c r="AW11" s="44"/>
      <x:c r="AX11" s="44"/>
      <x:c r="AY11" s="44"/>
      <x:c r="AZ11" s="44"/>
    </x:row>
    <x:row r="12">
      <x:c r="A12" s="22" t="str">
        <x:v>Additional quality-control metric</x:v>
      </x:c>
      <x:c r="B12" s="22" t="str">
        <x:v>Maximum observed</x:v>
      </x:c>
      <x:c r="C12" s="22" t="str">
        <x:v>Recommended limit</x:v>
      </x:c>
      <x:c r="D12" s="22" t="str">
        <x:v>Status</x:v>
      </x:c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4"/>
      <x:c r="AL12" s="44"/>
      <x:c r="AM12" s="44"/>
      <x:c r="AN12" s="44"/>
      <x:c r="AO12" s="44"/>
      <x:c r="AP12" s="44"/>
      <x:c r="AQ12" s="44"/>
      <x:c r="AR12" s="44"/>
      <x:c r="AS12" s="44"/>
      <x:c r="AT12" s="44"/>
      <x:c r="AU12" s="44"/>
      <x:c r="AV12" s="44"/>
      <x:c r="AW12" s="44"/>
      <x:c r="AX12" s="44"/>
      <x:c r="AY12" s="44"/>
      <x:c r="AZ12" s="44"/>
    </x:row>
    <x:row r="13">
      <x:c r="A13" s="44" t="str">
        <x:v>Flow label error (%)</x:v>
      </x:c>
      <x:c r="B13" s="46" t="n">
        <x:v>0.00016864663499038812</x:v>
      </x:c>
      <x:c r="C13" s="46" t="n">
        <x:v>0.1</x:v>
      </x:c>
      <x:c r="D13" s="44" t="str">
        <x:v>PASS</x:v>
      </x:c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  <x:c r="AR13" s="44"/>
      <x:c r="AS13" s="44"/>
      <x:c r="AT13" s="44"/>
      <x:c r="AU13" s="44"/>
      <x:c r="AV13" s="44"/>
      <x:c r="AW13" s="44"/>
      <x:c r="AX13" s="44"/>
      <x:c r="AY13" s="44"/>
      <x:c r="AZ13" s="44"/>
    </x:row>
    <x:row r="14">
      <x:c r="A14" s="44" t="str">
        <x:v>Inlet/outlet volumetric-flow imbalance (%)</x:v>
      </x:c>
      <x:c r="B14" s="46" t="n">
        <x:v>0.36070616497116037</x:v>
      </x:c>
      <x:c r="C14" s="46" t="n">
        <x:v>0.5</x:v>
      </x:c>
      <x:c r="D14" s="44" t="str">
        <x:v>PASS</x:v>
      </x:c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4"/>
      <x:c r="AL14" s="44"/>
      <x:c r="AM14" s="44"/>
      <x:c r="AN14" s="44"/>
      <x:c r="AO14" s="44"/>
      <x:c r="AP14" s="44"/>
      <x:c r="AQ14" s="44"/>
      <x:c r="AR14" s="44"/>
      <x:c r="AS14" s="44"/>
      <x:c r="AT14" s="44"/>
      <x:c r="AU14" s="44"/>
      <x:c r="AV14" s="44"/>
      <x:c r="AW14" s="44"/>
      <x:c r="AX14" s="44"/>
      <x:c r="AY14" s="44"/>
      <x:c r="AZ14" s="44"/>
    </x:row>
    <x:row r="15">
      <x:c r="A15" s="44" t="str">
        <x:v>Thermal constraint classification accuracy (%)</x:v>
      </x:c>
      <x:c r="B15" s="46" t="n">
        <x:v>100</x:v>
      </x:c>
      <x:c r="C15" s="46" t="n">
        <x:v>100</x:v>
      </x:c>
      <x:c r="D15" s="44" t="str">
        <x:v>PASS</x:v>
      </x:c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4"/>
      <x:c r="AL15" s="44"/>
      <x:c r="AM15" s="44"/>
      <x:c r="AN15" s="44"/>
      <x:c r="AO15" s="44"/>
      <x:c r="AP15" s="44"/>
      <x:c r="AQ15" s="44"/>
      <x:c r="AR15" s="44"/>
      <x:c r="AS15" s="44"/>
      <x:c r="AT15" s="44"/>
      <x:c r="AU15" s="44"/>
      <x:c r="AV15" s="44"/>
      <x:c r="AW15" s="44"/>
      <x:c r="AX15" s="44"/>
      <x:c r="AY15" s="44"/>
      <x:c r="A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4"/>
      <x:c r="AL16" s="44"/>
      <x:c r="AM16" s="44"/>
      <x:c r="AN16" s="44"/>
      <x:c r="AO16" s="44"/>
      <x:c r="AP16" s="44"/>
      <x:c r="AQ16" s="44"/>
      <x:c r="AR16" s="44"/>
      <x:c r="AS16" s="44"/>
      <x:c r="AT16" s="44"/>
      <x:c r="AU16" s="44"/>
      <x:c r="AV16" s="44"/>
      <x:c r="AW16" s="44"/>
      <x:c r="AX16" s="44"/>
      <x:c r="AY16" s="44"/>
      <x:c r="A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/>
      <x:c r="AN17" s="44"/>
      <x:c r="AO17" s="44"/>
      <x:c r="AP17" s="44"/>
      <x:c r="AQ17" s="44"/>
      <x:c r="AR17" s="44"/>
      <x:c r="AS17" s="44"/>
      <x:c r="AT17" s="44"/>
      <x:c r="AU17" s="44"/>
      <x:c r="AV17" s="44"/>
      <x:c r="AW17" s="44"/>
      <x:c r="AX17" s="44"/>
      <x:c r="AY17" s="44"/>
      <x:c r="A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4"/>
      <x:c r="AL18" s="44"/>
      <x:c r="AM18" s="44"/>
      <x:c r="AN18" s="44"/>
      <x:c r="AO18" s="44"/>
      <x:c r="AP18" s="44"/>
      <x:c r="AQ18" s="44"/>
      <x:c r="AR18" s="44"/>
      <x:c r="AS18" s="44"/>
      <x:c r="AT18" s="44"/>
      <x:c r="AU18" s="44"/>
      <x:c r="AV18" s="44"/>
      <x:c r="AW18" s="44"/>
      <x:c r="AX18" s="44"/>
      <x:c r="AY18" s="44"/>
      <x:c r="A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4"/>
      <x:c r="AL19" s="44"/>
      <x:c r="AM19" s="44"/>
      <x:c r="AN19" s="44"/>
      <x:c r="AO19" s="44"/>
      <x:c r="AP19" s="44"/>
      <x:c r="AQ19" s="44"/>
      <x:c r="AR19" s="44"/>
      <x:c r="AS19" s="44"/>
      <x:c r="AT19" s="44"/>
      <x:c r="AU19" s="44"/>
      <x:c r="AV19" s="44"/>
      <x:c r="AW19" s="44"/>
      <x:c r="AX19" s="44"/>
      <x:c r="AY19" s="44"/>
      <x:c r="A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  <x:c r="AR20" s="44"/>
      <x:c r="AS20" s="44"/>
      <x:c r="AT20" s="44"/>
      <x:c r="AU20" s="44"/>
      <x:c r="AV20" s="44"/>
      <x:c r="AW20" s="44"/>
      <x:c r="AX20" s="44"/>
      <x:c r="AY20" s="44"/>
      <x:c r="A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4"/>
      <x:c r="AL21" s="44"/>
      <x:c r="AM21" s="44"/>
      <x:c r="AN21" s="44"/>
      <x:c r="AO21" s="44"/>
      <x:c r="AP21" s="44"/>
      <x:c r="AQ21" s="44"/>
      <x:c r="AR21" s="44"/>
      <x:c r="AS21" s="44"/>
      <x:c r="AT21" s="44"/>
      <x:c r="AU21" s="44"/>
      <x:c r="AV21" s="44"/>
      <x:c r="AW21" s="44"/>
      <x:c r="AX21" s="44"/>
      <x:c r="AY21" s="44"/>
      <x:c r="A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4"/>
      <x:c r="AL22" s="44"/>
      <x:c r="AM22" s="44"/>
      <x:c r="AN22" s="44"/>
      <x:c r="AO22" s="44"/>
      <x:c r="AP22" s="44"/>
      <x:c r="AQ22" s="44"/>
      <x:c r="AR22" s="44"/>
      <x:c r="AS22" s="44"/>
      <x:c r="AT22" s="44"/>
      <x:c r="AU22" s="44"/>
      <x:c r="AV22" s="44"/>
      <x:c r="AW22" s="44"/>
      <x:c r="AX22" s="44"/>
      <x:c r="AY22" s="44"/>
      <x:c r="A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4"/>
      <x:c r="AL23" s="44"/>
      <x:c r="AM23" s="44"/>
      <x:c r="AN23" s="44"/>
      <x:c r="AO23" s="44"/>
      <x:c r="AP23" s="44"/>
      <x:c r="AQ23" s="44"/>
      <x:c r="AR23" s="44"/>
      <x:c r="AS23" s="44"/>
      <x:c r="AT23" s="44"/>
      <x:c r="AU23" s="44"/>
      <x:c r="AV23" s="44"/>
      <x:c r="AW23" s="44"/>
      <x:c r="AX23" s="44"/>
      <x:c r="AY23" s="44"/>
      <x:c r="A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4"/>
      <x:c r="AL25" s="44"/>
      <x:c r="AM25" s="44"/>
      <x:c r="AN25" s="44"/>
      <x:c r="AO25" s="44"/>
      <x:c r="AP25" s="44"/>
      <x:c r="AQ25" s="44"/>
      <x:c r="AR25" s="44"/>
      <x:c r="AS25" s="44"/>
      <x:c r="AT25" s="44"/>
      <x:c r="AU25" s="44"/>
      <x:c r="AV25" s="44"/>
      <x:c r="AW25" s="44"/>
      <x:c r="AX25" s="44"/>
      <x:c r="AY25" s="44"/>
      <x:c r="A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4"/>
      <x:c r="AL26" s="44"/>
      <x:c r="AM26" s="44"/>
      <x:c r="AN26" s="44"/>
      <x:c r="AO26" s="44"/>
      <x:c r="AP26" s="44"/>
      <x:c r="AQ26" s="44"/>
      <x:c r="AR26" s="44"/>
      <x:c r="AS26" s="44"/>
      <x:c r="AT26" s="44"/>
      <x:c r="AU26" s="44"/>
      <x:c r="AV26" s="44"/>
      <x:c r="AW26" s="44"/>
      <x:c r="AX26" s="44"/>
      <x:c r="AY26" s="44"/>
      <x:c r="A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/>
      <x:c r="AT27" s="44"/>
      <x:c r="AU27" s="44"/>
      <x:c r="AV27" s="44"/>
      <x:c r="AW27" s="44"/>
      <x:c r="AX27" s="44"/>
      <x:c r="AY27" s="44"/>
      <x:c r="A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/>
      <x:c r="AT28" s="44"/>
      <x:c r="AU28" s="44"/>
      <x:c r="AV28" s="44"/>
      <x:c r="AW28" s="44"/>
      <x:c r="AX28" s="44"/>
      <x:c r="AY28" s="44"/>
      <x:c r="A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4"/>
      <x:c r="AL32" s="44"/>
      <x:c r="AM32" s="44"/>
      <x:c r="AN32" s="44"/>
      <x:c r="AO32" s="44"/>
      <x:c r="AP32" s="44"/>
      <x:c r="AQ32" s="44"/>
      <x:c r="AR32" s="44"/>
      <x:c r="AS32" s="44"/>
      <x:c r="AT32" s="44"/>
      <x:c r="AU32" s="44"/>
      <x:c r="AV32" s="44"/>
      <x:c r="AW32" s="44"/>
      <x:c r="AX32" s="44"/>
      <x:c r="AY32" s="44"/>
      <x:c r="A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4"/>
      <x:c r="AL33" s="44"/>
      <x:c r="AM33" s="44"/>
      <x:c r="AN33" s="44"/>
      <x:c r="AO33" s="44"/>
      <x:c r="AP33" s="44"/>
      <x:c r="AQ33" s="44"/>
      <x:c r="AR33" s="44"/>
      <x:c r="AS33" s="44"/>
      <x:c r="AT33" s="44"/>
      <x:c r="AU33" s="44"/>
      <x:c r="AV33" s="44"/>
      <x:c r="AW33" s="44"/>
      <x:c r="AX33" s="44"/>
      <x:c r="AY33" s="44"/>
      <x:c r="A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4"/>
      <x:c r="AL34" s="44"/>
      <x:c r="AM34" s="44"/>
      <x:c r="AN34" s="44"/>
      <x:c r="AO34" s="44"/>
      <x:c r="AP34" s="44"/>
      <x:c r="AQ34" s="44"/>
      <x:c r="AR34" s="44"/>
      <x:c r="AS34" s="44"/>
      <x:c r="AT34" s="44"/>
      <x:c r="AU34" s="44"/>
      <x:c r="AV34" s="44"/>
      <x:c r="AW34" s="44"/>
      <x:c r="AX34" s="44"/>
      <x:c r="AY34" s="44"/>
      <x:c r="A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4"/>
      <x:c r="AL35" s="44"/>
      <x:c r="AM35" s="44"/>
      <x:c r="AN35" s="44"/>
      <x:c r="AO35" s="44"/>
      <x:c r="AP35" s="44"/>
      <x:c r="AQ35" s="44"/>
      <x:c r="AR35" s="44"/>
      <x:c r="AS35" s="44"/>
      <x:c r="AT35" s="44"/>
      <x:c r="AU35" s="44"/>
      <x:c r="AV35" s="44"/>
      <x:c r="AW35" s="44"/>
      <x:c r="AX35" s="44"/>
      <x:c r="AY35" s="44"/>
      <x:c r="A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4"/>
      <x:c r="AL36" s="44"/>
      <x:c r="AM36" s="44"/>
      <x:c r="AN36" s="44"/>
      <x:c r="AO36" s="44"/>
      <x:c r="AP36" s="44"/>
      <x:c r="AQ36" s="44"/>
      <x:c r="AR36" s="44"/>
      <x:c r="AS36" s="44"/>
      <x:c r="AT36" s="44"/>
      <x:c r="AU36" s="44"/>
      <x:c r="AV36" s="44"/>
      <x:c r="AW36" s="44"/>
      <x:c r="AX36" s="44"/>
      <x:c r="AY36" s="44"/>
      <x:c r="A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4"/>
      <x:c r="AL37" s="44"/>
      <x:c r="AM37" s="44"/>
      <x:c r="AN37" s="44"/>
      <x:c r="AO37" s="44"/>
      <x:c r="AP37" s="44"/>
      <x:c r="AQ37" s="44"/>
      <x:c r="AR37" s="44"/>
      <x:c r="AS37" s="44"/>
      <x:c r="AT37" s="44"/>
      <x:c r="AU37" s="44"/>
      <x:c r="AV37" s="44"/>
      <x:c r="AW37" s="44"/>
      <x:c r="AX37" s="44"/>
      <x:c r="AY37" s="44"/>
      <x:c r="A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4"/>
      <x:c r="AL38" s="44"/>
      <x:c r="AM38" s="44"/>
      <x:c r="AN38" s="44"/>
      <x:c r="AO38" s="44"/>
      <x:c r="AP38" s="44"/>
      <x:c r="AQ38" s="44"/>
      <x:c r="AR38" s="44"/>
      <x:c r="AS38" s="44"/>
      <x:c r="AT38" s="44"/>
      <x:c r="AU38" s="44"/>
      <x:c r="AV38" s="44"/>
      <x:c r="AW38" s="44"/>
      <x:c r="AX38" s="44"/>
      <x:c r="AY38" s="44"/>
      <x:c r="A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4"/>
      <x:c r="AL39" s="44"/>
      <x:c r="AM39" s="44"/>
      <x:c r="AN39" s="44"/>
      <x:c r="AO39" s="44"/>
      <x:c r="AP39" s="44"/>
      <x:c r="AQ39" s="44"/>
      <x:c r="AR39" s="44"/>
      <x:c r="AS39" s="44"/>
      <x:c r="AT39" s="44"/>
      <x:c r="AU39" s="44"/>
      <x:c r="AV39" s="44"/>
      <x:c r="AW39" s="44"/>
      <x:c r="AX39" s="44"/>
      <x:c r="AY39" s="44"/>
      <x:c r="A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4"/>
      <x:c r="AL40" s="44"/>
      <x:c r="AM40" s="44"/>
      <x:c r="AN40" s="44"/>
      <x:c r="AO40" s="44"/>
      <x:c r="AP40" s="44"/>
      <x:c r="AQ40" s="44"/>
      <x:c r="AR40" s="44"/>
      <x:c r="AS40" s="44"/>
      <x:c r="AT40" s="44"/>
      <x:c r="AU40" s="44"/>
      <x:c r="AV40" s="44"/>
      <x:c r="AW40" s="44"/>
      <x:c r="AX40" s="44"/>
      <x:c r="AY40" s="44"/>
      <x:c r="A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/>
      <x:c r="AM41" s="44"/>
      <x:c r="AN41" s="44"/>
      <x:c r="AO41" s="44"/>
      <x:c r="AP41" s="44"/>
      <x:c r="AQ41" s="44"/>
      <x:c r="AR41" s="44"/>
      <x:c r="AS41" s="44"/>
      <x:c r="AT41" s="44"/>
      <x:c r="AU41" s="44"/>
      <x:c r="AV41" s="44"/>
      <x:c r="AW41" s="44"/>
      <x:c r="AX41" s="44"/>
      <x:c r="AY41" s="44"/>
      <x:c r="A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4"/>
      <x:c r="AL42" s="44"/>
      <x:c r="AM42" s="44"/>
      <x:c r="AN42" s="44"/>
      <x:c r="AO42" s="44"/>
      <x:c r="AP42" s="44"/>
      <x:c r="AQ42" s="44"/>
      <x:c r="AR42" s="44"/>
      <x:c r="AS42" s="44"/>
      <x:c r="AT42" s="44"/>
      <x:c r="AU42" s="44"/>
      <x:c r="AV42" s="44"/>
      <x:c r="AW42" s="44"/>
      <x:c r="AX42" s="44"/>
      <x:c r="AY42" s="44"/>
      <x:c r="A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4"/>
      <x:c r="AL43" s="44"/>
      <x:c r="AM43" s="44"/>
      <x:c r="AN43" s="44"/>
      <x:c r="AO43" s="44"/>
      <x:c r="AP43" s="44"/>
      <x:c r="AQ43" s="44"/>
      <x:c r="AR43" s="44"/>
      <x:c r="AS43" s="44"/>
      <x:c r="AT43" s="44"/>
      <x:c r="AU43" s="44"/>
      <x:c r="AV43" s="44"/>
      <x:c r="AW43" s="44"/>
      <x:c r="AX43" s="44"/>
      <x:c r="AY43" s="44"/>
      <x:c r="A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4"/>
      <x:c r="AL44" s="44"/>
      <x:c r="AM44" s="44"/>
      <x:c r="AN44" s="44"/>
      <x:c r="AO44" s="44"/>
      <x:c r="AP44" s="44"/>
      <x:c r="AQ44" s="44"/>
      <x:c r="AR44" s="44"/>
      <x:c r="AS44" s="44"/>
      <x:c r="AT44" s="44"/>
      <x:c r="AU44" s="44"/>
      <x:c r="AV44" s="44"/>
      <x:c r="AW44" s="44"/>
      <x:c r="AX44" s="44"/>
      <x:c r="AY44" s="44"/>
      <x:c r="A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4"/>
      <x:c r="AL45" s="44"/>
      <x:c r="AM45" s="44"/>
      <x:c r="AN45" s="44"/>
      <x:c r="AO45" s="44"/>
      <x:c r="AP45" s="44"/>
      <x:c r="AQ45" s="44"/>
      <x:c r="AR45" s="44"/>
      <x:c r="AS45" s="44"/>
      <x:c r="AT45" s="44"/>
      <x:c r="AU45" s="44"/>
      <x:c r="AV45" s="44"/>
      <x:c r="AW45" s="44"/>
      <x:c r="AX45" s="44"/>
      <x:c r="AY45" s="44"/>
      <x:c r="A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4"/>
      <x:c r="AL47" s="44"/>
      <x:c r="AM47" s="44"/>
      <x:c r="AN47" s="44"/>
      <x:c r="AO47" s="44"/>
      <x:c r="AP47" s="44"/>
      <x:c r="AQ47" s="44"/>
      <x:c r="AR47" s="44"/>
      <x:c r="AS47" s="44"/>
      <x:c r="AT47" s="44"/>
      <x:c r="AU47" s="44"/>
      <x:c r="AV47" s="44"/>
      <x:c r="AW47" s="44"/>
      <x:c r="AX47" s="44"/>
      <x:c r="AY47" s="44"/>
      <x:c r="A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4"/>
      <x:c r="AL48" s="44"/>
      <x:c r="AM48" s="44"/>
      <x:c r="AN48" s="44"/>
      <x:c r="AO48" s="44"/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4"/>
      <x:c r="AL49" s="44"/>
      <x:c r="AM49" s="44"/>
      <x:c r="AN49" s="44"/>
      <x:c r="AO49" s="44"/>
      <x:c r="AP49" s="44"/>
      <x:c r="AQ49" s="44"/>
      <x:c r="AR49" s="44"/>
      <x:c r="AS49" s="44"/>
      <x:c r="AT49" s="44"/>
      <x:c r="AU49" s="44"/>
      <x:c r="AV49" s="44"/>
      <x:c r="AW49" s="44"/>
      <x:c r="AX49" s="44"/>
      <x:c r="AY49" s="44"/>
      <x:c r="A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4"/>
      <x:c r="AL50" s="44"/>
      <x:c r="AM50" s="44"/>
      <x:c r="AN50" s="44"/>
      <x:c r="AO50" s="44"/>
      <x:c r="AP50" s="44"/>
      <x:c r="AQ50" s="44"/>
      <x:c r="AR50" s="44"/>
      <x:c r="AS50" s="44"/>
      <x:c r="AT50" s="44"/>
      <x:c r="AU50" s="44"/>
      <x:c r="AV50" s="44"/>
      <x:c r="AW50" s="44"/>
      <x:c r="AX50" s="44"/>
      <x:c r="AY50" s="44"/>
      <x:c r="A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4"/>
      <x:c r="AL51" s="44"/>
      <x:c r="AM51" s="44"/>
      <x:c r="AN51" s="44"/>
      <x:c r="AO51" s="44"/>
      <x:c r="AP51" s="44"/>
      <x:c r="AQ51" s="44"/>
      <x:c r="AR51" s="44"/>
      <x:c r="AS51" s="44"/>
      <x:c r="AT51" s="44"/>
      <x:c r="AU51" s="44"/>
      <x:c r="AV51" s="44"/>
      <x:c r="AW51" s="44"/>
      <x:c r="AX51" s="44"/>
      <x:c r="AY51" s="44"/>
      <x:c r="A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4"/>
      <x:c r="AL52" s="44"/>
      <x:c r="AM52" s="44"/>
      <x:c r="AN52" s="44"/>
      <x:c r="AO52" s="44"/>
      <x:c r="AP52" s="44"/>
      <x:c r="AQ52" s="44"/>
      <x:c r="AR52" s="44"/>
      <x:c r="AS52" s="44"/>
      <x:c r="AT52" s="44"/>
      <x:c r="AU52" s="44"/>
      <x:c r="AV52" s="44"/>
      <x:c r="AW52" s="44"/>
      <x:c r="AX52" s="44"/>
      <x:c r="AY52" s="44"/>
      <x:c r="A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4"/>
      <x:c r="AL53" s="44"/>
      <x:c r="AM53" s="44"/>
      <x:c r="AN53" s="44"/>
      <x:c r="AO53" s="44"/>
      <x:c r="AP53" s="44"/>
      <x:c r="AQ53" s="44"/>
      <x:c r="AR53" s="44"/>
      <x:c r="AS53" s="44"/>
      <x:c r="AT53" s="44"/>
      <x:c r="AU53" s="44"/>
      <x:c r="AV53" s="44"/>
      <x:c r="AW53" s="44"/>
      <x:c r="AX53" s="44"/>
      <x:c r="AY53" s="44"/>
      <x:c r="A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4"/>
      <x:c r="AL54" s="44"/>
      <x:c r="AM54" s="44"/>
      <x:c r="AN54" s="44"/>
      <x:c r="AO54" s="44"/>
      <x:c r="AP54" s="44"/>
      <x:c r="AQ54" s="44"/>
      <x:c r="AR54" s="44"/>
      <x:c r="AS54" s="44"/>
      <x:c r="AT54" s="44"/>
      <x:c r="AU54" s="44"/>
      <x:c r="AV54" s="44"/>
      <x:c r="AW54" s="44"/>
      <x:c r="AX54" s="44"/>
      <x:c r="AY54" s="44"/>
      <x:c r="A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4"/>
      <x:c r="AL55" s="44"/>
      <x:c r="AM55" s="44"/>
      <x:c r="AN55" s="44"/>
      <x:c r="AO55" s="44"/>
      <x:c r="AP55" s="44"/>
      <x:c r="AQ55" s="44"/>
      <x:c r="AR55" s="44"/>
      <x:c r="AS55" s="44"/>
      <x:c r="AT55" s="44"/>
      <x:c r="AU55" s="44"/>
      <x:c r="AV55" s="44"/>
      <x:c r="AW55" s="44"/>
      <x:c r="AX55" s="44"/>
      <x:c r="AY55" s="44"/>
      <x:c r="A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4"/>
      <x:c r="AL56" s="44"/>
      <x:c r="AM56" s="44"/>
      <x:c r="AN56" s="44"/>
      <x:c r="AO56" s="44"/>
      <x:c r="AP56" s="44"/>
      <x:c r="AQ56" s="44"/>
      <x:c r="AR56" s="44"/>
      <x:c r="AS56" s="44"/>
      <x:c r="AT56" s="44"/>
      <x:c r="AU56" s="44"/>
      <x:c r="AV56" s="44"/>
      <x:c r="AW56" s="44"/>
      <x:c r="AX56" s="44"/>
      <x:c r="AY56" s="44"/>
      <x:c r="A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4"/>
      <x:c r="AL57" s="44"/>
      <x:c r="AM57" s="44"/>
      <x:c r="AN57" s="44"/>
      <x:c r="AO57" s="44"/>
      <x:c r="AP57" s="44"/>
      <x:c r="AQ57" s="44"/>
      <x:c r="AR57" s="44"/>
      <x:c r="AS57" s="44"/>
      <x:c r="AT57" s="44"/>
      <x:c r="AU57" s="44"/>
      <x:c r="AV57" s="44"/>
      <x:c r="AW57" s="44"/>
      <x:c r="AX57" s="44"/>
      <x:c r="AY57" s="44"/>
      <x:c r="A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4"/>
      <x:c r="AL58" s="44"/>
      <x:c r="AM58" s="44"/>
      <x:c r="AN58" s="44"/>
      <x:c r="AO58" s="44"/>
      <x:c r="AP58" s="44"/>
      <x:c r="AQ58" s="44"/>
      <x:c r="AR58" s="44"/>
      <x:c r="AS58" s="44"/>
      <x:c r="AT58" s="44"/>
      <x:c r="AU58" s="44"/>
      <x:c r="AV58" s="44"/>
      <x:c r="AW58" s="44"/>
      <x:c r="AX58" s="44"/>
      <x:c r="AY58" s="44"/>
      <x:c r="A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4"/>
      <x:c r="AL59" s="44"/>
      <x:c r="AM59" s="44"/>
      <x:c r="AN59" s="44"/>
      <x:c r="AO59" s="44"/>
      <x:c r="AP59" s="44"/>
      <x:c r="AQ59" s="44"/>
      <x:c r="AR59" s="44"/>
      <x:c r="AS59" s="44"/>
      <x:c r="AT59" s="44"/>
      <x:c r="AU59" s="44"/>
      <x:c r="AV59" s="44"/>
      <x:c r="AW59" s="44"/>
      <x:c r="AX59" s="44"/>
      <x:c r="AY59" s="44"/>
      <x:c r="A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4"/>
      <x:c r="AL60" s="44"/>
      <x:c r="AM60" s="44"/>
      <x:c r="AN60" s="44"/>
      <x:c r="AO60" s="44"/>
      <x:c r="AP60" s="44"/>
      <x:c r="AQ60" s="44"/>
      <x:c r="AR60" s="44"/>
      <x:c r="AS60" s="44"/>
      <x:c r="AT60" s="44"/>
      <x:c r="AU60" s="44"/>
      <x:c r="AV60" s="44"/>
      <x:c r="AW60" s="44"/>
      <x:c r="AX60" s="44"/>
      <x:c r="AY60" s="44"/>
      <x:c r="A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4"/>
      <x:c r="AL61" s="44"/>
      <x:c r="AM61" s="44"/>
      <x:c r="AN61" s="44"/>
      <x:c r="AO61" s="44"/>
      <x:c r="AP61" s="44"/>
      <x:c r="AQ61" s="44"/>
      <x:c r="AR61" s="44"/>
      <x:c r="AS61" s="44"/>
      <x:c r="AT61" s="44"/>
      <x:c r="AU61" s="44"/>
      <x:c r="AV61" s="44"/>
      <x:c r="AW61" s="44"/>
      <x:c r="AX61" s="44"/>
      <x:c r="AY61" s="44"/>
      <x:c r="A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4"/>
      <x:c r="AL62" s="44"/>
      <x:c r="AM62" s="44"/>
      <x:c r="AN62" s="44"/>
      <x:c r="AO62" s="44"/>
      <x:c r="AP62" s="44"/>
      <x:c r="AQ62" s="44"/>
      <x:c r="AR62" s="44"/>
      <x:c r="AS62" s="44"/>
      <x:c r="AT62" s="44"/>
      <x:c r="AU62" s="44"/>
      <x:c r="AV62" s="44"/>
      <x:c r="AW62" s="44"/>
      <x:c r="AX62" s="44"/>
      <x:c r="AY62" s="44"/>
      <x:c r="A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4"/>
      <x:c r="AL63" s="44"/>
      <x:c r="AM63" s="44"/>
      <x:c r="AN63" s="44"/>
      <x:c r="AO63" s="44"/>
      <x:c r="AP63" s="44"/>
      <x:c r="AQ63" s="44"/>
      <x:c r="AR63" s="44"/>
      <x:c r="AS63" s="44"/>
      <x:c r="AT63" s="44"/>
      <x:c r="AU63" s="44"/>
      <x:c r="AV63" s="44"/>
      <x:c r="AW63" s="44"/>
      <x:c r="AX63" s="44"/>
      <x:c r="AY63" s="44"/>
      <x:c r="A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4"/>
      <x:c r="AL64" s="44"/>
      <x:c r="AM64" s="44"/>
      <x:c r="AN64" s="44"/>
      <x:c r="AO64" s="44"/>
      <x:c r="AP64" s="44"/>
      <x:c r="AQ64" s="44"/>
      <x:c r="AR64" s="44"/>
      <x:c r="AS64" s="44"/>
      <x:c r="AT64" s="44"/>
      <x:c r="AU64" s="44"/>
      <x:c r="AV64" s="44"/>
      <x:c r="AW64" s="44"/>
      <x:c r="AX64" s="44"/>
      <x:c r="AY64" s="44"/>
      <x:c r="A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4"/>
      <x:c r="AL65" s="44"/>
      <x:c r="AM65" s="44"/>
      <x:c r="AN65" s="44"/>
      <x:c r="AO65" s="44"/>
      <x:c r="AP65" s="44"/>
      <x:c r="AQ65" s="44"/>
      <x:c r="AR65" s="44"/>
      <x:c r="AS65" s="44"/>
      <x:c r="AT65" s="44"/>
      <x:c r="AU65" s="44"/>
      <x:c r="AV65" s="44"/>
      <x:c r="AW65" s="44"/>
      <x:c r="AX65" s="44"/>
      <x:c r="AY65" s="44"/>
      <x:c r="A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4"/>
      <x:c r="AL66" s="44"/>
      <x:c r="AM66" s="44"/>
      <x:c r="AN66" s="44"/>
      <x:c r="AO66" s="44"/>
      <x:c r="AP66" s="44"/>
      <x:c r="AQ66" s="44"/>
      <x:c r="AR66" s="44"/>
      <x:c r="AS66" s="44"/>
      <x:c r="AT66" s="44"/>
      <x:c r="AU66" s="44"/>
      <x:c r="AV66" s="44"/>
      <x:c r="AW66" s="44"/>
      <x:c r="AX66" s="44"/>
      <x:c r="AY66" s="44"/>
      <x:c r="A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4"/>
      <x:c r="AL67" s="44"/>
      <x:c r="AM67" s="44"/>
      <x:c r="AN67" s="44"/>
      <x:c r="AO67" s="44"/>
      <x:c r="AP67" s="44"/>
      <x:c r="AQ67" s="44"/>
      <x:c r="AR67" s="44"/>
      <x:c r="AS67" s="44"/>
      <x:c r="AT67" s="44"/>
      <x:c r="AU67" s="44"/>
      <x:c r="AV67" s="44"/>
      <x:c r="AW67" s="44"/>
      <x:c r="AX67" s="44"/>
      <x:c r="AY67" s="44"/>
      <x:c r="A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4"/>
      <x:c r="AL76" s="44"/>
      <x:c r="AM76" s="44"/>
      <x:c r="AN76" s="44"/>
      <x:c r="AO76" s="44"/>
      <x:c r="AP76" s="44"/>
      <x:c r="AQ76" s="44"/>
      <x:c r="AR76" s="44"/>
      <x:c r="AS76" s="44"/>
      <x:c r="AT76" s="44"/>
      <x:c r="AU76" s="44"/>
      <x:c r="AV76" s="44"/>
      <x:c r="AW76" s="44"/>
      <x:c r="AX76" s="44"/>
      <x:c r="AY76" s="44"/>
      <x:c r="A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4"/>
      <x:c r="AL77" s="44"/>
      <x:c r="AM77" s="44"/>
      <x:c r="AN77" s="44"/>
      <x:c r="AO77" s="44"/>
      <x:c r="AP77" s="44"/>
      <x:c r="AQ77" s="44"/>
      <x:c r="AR77" s="44"/>
      <x:c r="AS77" s="44"/>
      <x:c r="AT77" s="44"/>
      <x:c r="AU77" s="44"/>
      <x:c r="AV77" s="44"/>
      <x:c r="AW77" s="44"/>
      <x:c r="AX77" s="44"/>
      <x:c r="AY77" s="44"/>
      <x:c r="A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4"/>
      <x:c r="AL78" s="44"/>
      <x:c r="AM78" s="44"/>
      <x:c r="AN78" s="44"/>
      <x:c r="AO78" s="44"/>
      <x:c r="AP78" s="44"/>
      <x:c r="AQ78" s="44"/>
      <x:c r="AR78" s="44"/>
      <x:c r="AS78" s="44"/>
      <x:c r="AT78" s="44"/>
      <x:c r="AU78" s="44"/>
      <x:c r="AV78" s="44"/>
      <x:c r="AW78" s="44"/>
      <x:c r="AX78" s="44"/>
      <x:c r="AY78" s="44"/>
      <x:c r="A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4"/>
      <x:c r="AL79" s="44"/>
      <x:c r="AM79" s="44"/>
      <x:c r="AN79" s="44"/>
      <x:c r="AO79" s="44"/>
      <x:c r="AP79" s="44"/>
      <x:c r="AQ79" s="44"/>
      <x:c r="AR79" s="44"/>
      <x:c r="AS79" s="44"/>
      <x:c r="AT79" s="44"/>
      <x:c r="AU79" s="44"/>
      <x:c r="AV79" s="44"/>
      <x:c r="AW79" s="44"/>
      <x:c r="AX79" s="44"/>
      <x:c r="AY79" s="44"/>
      <x:c r="A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4"/>
      <x:c r="AL80" s="44"/>
      <x:c r="AM80" s="44"/>
      <x:c r="AN80" s="44"/>
      <x:c r="AO80" s="44"/>
      <x:c r="AP80" s="44"/>
      <x:c r="AQ80" s="44"/>
      <x:c r="AR80" s="44"/>
      <x:c r="AS80" s="44"/>
      <x:c r="AT80" s="44"/>
      <x:c r="AU80" s="44"/>
      <x:c r="AV80" s="44"/>
      <x:c r="AW80" s="44"/>
      <x:c r="AX80" s="44"/>
      <x:c r="AY80" s="44"/>
      <x:c r="A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4"/>
      <x:c r="AL81" s="44"/>
      <x:c r="AM81" s="44"/>
      <x:c r="AN81" s="44"/>
      <x:c r="AO81" s="44"/>
      <x:c r="AP81" s="44"/>
      <x:c r="AQ81" s="44"/>
      <x:c r="AR81" s="44"/>
      <x:c r="AS81" s="44"/>
      <x:c r="AT81" s="44"/>
      <x:c r="AU81" s="44"/>
      <x:c r="AV81" s="44"/>
      <x:c r="AW81" s="44"/>
      <x:c r="AX81" s="44"/>
      <x:c r="AY81" s="44"/>
      <x:c r="A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4"/>
      <x:c r="AL82" s="44"/>
      <x:c r="AM82" s="44"/>
      <x:c r="AN82" s="44"/>
      <x:c r="AO82" s="44"/>
      <x:c r="AP82" s="44"/>
      <x:c r="AQ82" s="44"/>
      <x:c r="AR82" s="44"/>
      <x:c r="AS82" s="44"/>
      <x:c r="AT82" s="44"/>
      <x:c r="AU82" s="44"/>
      <x:c r="AV82" s="44"/>
      <x:c r="AW82" s="44"/>
      <x:c r="AX82" s="44"/>
      <x:c r="AY82" s="44"/>
      <x:c r="A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4"/>
      <x:c r="AL83" s="44"/>
      <x:c r="AM83" s="44"/>
      <x:c r="AN83" s="44"/>
      <x:c r="AO83" s="44"/>
      <x:c r="AP83" s="44"/>
      <x:c r="AQ83" s="44"/>
      <x:c r="AR83" s="44"/>
      <x:c r="AS83" s="44"/>
      <x:c r="AT83" s="44"/>
      <x:c r="AU83" s="44"/>
      <x:c r="AV83" s="44"/>
      <x:c r="AW83" s="44"/>
      <x:c r="AX83" s="44"/>
      <x:c r="AY83" s="44"/>
      <x:c r="A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4"/>
      <x:c r="AL84" s="44"/>
      <x:c r="AM84" s="44"/>
      <x:c r="AN84" s="44"/>
      <x:c r="AO84" s="44"/>
      <x:c r="AP84" s="44"/>
      <x:c r="AQ84" s="44"/>
      <x:c r="AR84" s="44"/>
      <x:c r="AS84" s="44"/>
      <x:c r="AT84" s="44"/>
      <x:c r="AU84" s="44"/>
      <x:c r="AV84" s="44"/>
      <x:c r="AW84" s="44"/>
      <x:c r="AX84" s="44"/>
      <x:c r="AY84" s="44"/>
      <x:c r="A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4"/>
      <x:c r="AL85" s="44"/>
      <x:c r="AM85" s="44"/>
      <x:c r="AN85" s="44"/>
      <x:c r="AO85" s="44"/>
      <x:c r="AP85" s="44"/>
      <x:c r="AQ85" s="44"/>
      <x:c r="AR85" s="44"/>
      <x:c r="AS85" s="44"/>
      <x:c r="AT85" s="44"/>
      <x:c r="AU85" s="44"/>
      <x:c r="AV85" s="44"/>
      <x:c r="AW85" s="44"/>
      <x:c r="AX85" s="44"/>
      <x:c r="AY85" s="44"/>
      <x:c r="A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4"/>
      <x:c r="AL86" s="44"/>
      <x:c r="AM86" s="44"/>
      <x:c r="AN86" s="44"/>
      <x:c r="AO86" s="44"/>
      <x:c r="AP86" s="44"/>
      <x:c r="AQ86" s="44"/>
      <x:c r="AR86" s="44"/>
      <x:c r="AS86" s="44"/>
      <x:c r="AT86" s="44"/>
      <x:c r="AU86" s="44"/>
      <x:c r="AV86" s="44"/>
      <x:c r="AW86" s="44"/>
      <x:c r="AX86" s="44"/>
      <x:c r="AY86" s="44"/>
      <x:c r="A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4"/>
      <x:c r="AL87" s="44"/>
      <x:c r="AM87" s="44"/>
      <x:c r="AN87" s="44"/>
      <x:c r="AO87" s="44"/>
      <x:c r="AP87" s="44"/>
      <x:c r="AQ87" s="44"/>
      <x:c r="AR87" s="44"/>
      <x:c r="AS87" s="44"/>
      <x:c r="AT87" s="44"/>
      <x:c r="AU87" s="44"/>
      <x:c r="AV87" s="44"/>
      <x:c r="AW87" s="44"/>
      <x:c r="AX87" s="44"/>
      <x:c r="AY87" s="44"/>
      <x:c r="A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4"/>
      <x:c r="AL88" s="44"/>
      <x:c r="AM88" s="44"/>
      <x:c r="AN88" s="44"/>
      <x:c r="AO88" s="44"/>
      <x:c r="AP88" s="44"/>
      <x:c r="AQ88" s="44"/>
      <x:c r="AR88" s="44"/>
      <x:c r="AS88" s="44"/>
      <x:c r="AT88" s="44"/>
      <x:c r="AU88" s="44"/>
      <x:c r="AV88" s="44"/>
      <x:c r="AW88" s="44"/>
      <x:c r="AX88" s="44"/>
      <x:c r="AY88" s="44"/>
      <x:c r="A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4"/>
      <x:c r="AL89" s="44"/>
      <x:c r="AM89" s="44"/>
      <x:c r="AN89" s="44"/>
      <x:c r="AO89" s="44"/>
      <x:c r="AP89" s="44"/>
      <x:c r="AQ89" s="44"/>
      <x:c r="AR89" s="44"/>
      <x:c r="AS89" s="44"/>
      <x:c r="AT89" s="44"/>
      <x:c r="AU89" s="44"/>
      <x:c r="AV89" s="44"/>
      <x:c r="AW89" s="44"/>
      <x:c r="AX89" s="44"/>
      <x:c r="AY89" s="44"/>
      <x:c r="A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4"/>
      <x:c r="AL90" s="44"/>
      <x:c r="AM90" s="44"/>
      <x:c r="AN90" s="44"/>
      <x:c r="AO90" s="44"/>
      <x:c r="AP90" s="44"/>
      <x:c r="AQ90" s="44"/>
      <x:c r="AR90" s="44"/>
      <x:c r="AS90" s="44"/>
      <x:c r="AT90" s="44"/>
      <x:c r="AU90" s="44"/>
      <x:c r="AV90" s="44"/>
      <x:c r="AW90" s="44"/>
      <x:c r="AX90" s="44"/>
      <x:c r="AY90" s="44"/>
      <x:c r="A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4"/>
      <x:c r="AL91" s="44"/>
      <x:c r="AM91" s="44"/>
      <x:c r="AN91" s="44"/>
      <x:c r="AO91" s="44"/>
      <x:c r="AP91" s="44"/>
      <x:c r="AQ91" s="44"/>
      <x:c r="AR91" s="44"/>
      <x:c r="AS91" s="44"/>
      <x:c r="AT91" s="44"/>
      <x:c r="AU91" s="44"/>
      <x:c r="AV91" s="44"/>
      <x:c r="AW91" s="44"/>
      <x:c r="AX91" s="44"/>
      <x:c r="AY91" s="44"/>
      <x:c r="A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4"/>
      <x:c r="AL92" s="44"/>
      <x:c r="AM92" s="44"/>
      <x:c r="AN92" s="44"/>
      <x:c r="AO92" s="44"/>
      <x:c r="AP92" s="44"/>
      <x:c r="AQ92" s="44"/>
      <x:c r="AR92" s="44"/>
      <x:c r="AS92" s="44"/>
      <x:c r="AT92" s="44"/>
      <x:c r="AU92" s="44"/>
      <x:c r="AV92" s="44"/>
      <x:c r="AW92" s="44"/>
      <x:c r="AX92" s="44"/>
      <x:c r="AY92" s="44"/>
      <x:c r="A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4"/>
      <x:c r="AL93" s="44"/>
      <x:c r="AM93" s="44"/>
      <x:c r="AN93" s="44"/>
      <x:c r="AO93" s="44"/>
      <x:c r="AP93" s="44"/>
      <x:c r="AQ93" s="44"/>
      <x:c r="AR93" s="44"/>
      <x:c r="AS93" s="44"/>
      <x:c r="AT93" s="44"/>
      <x:c r="AU93" s="44"/>
      <x:c r="AV93" s="44"/>
      <x:c r="AW93" s="44"/>
      <x:c r="AX93" s="44"/>
      <x:c r="AY93" s="44"/>
      <x:c r="A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4"/>
      <x:c r="AL94" s="44"/>
      <x:c r="AM94" s="44"/>
      <x:c r="AN94" s="44"/>
      <x:c r="AO94" s="44"/>
      <x:c r="AP94" s="44"/>
      <x:c r="AQ94" s="44"/>
      <x:c r="AR94" s="44"/>
      <x:c r="AS94" s="44"/>
      <x:c r="AT94" s="44"/>
      <x:c r="AU94" s="44"/>
      <x:c r="AV94" s="44"/>
      <x:c r="AW94" s="44"/>
      <x:c r="AX94" s="44"/>
      <x:c r="AY94" s="44"/>
      <x:c r="A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4"/>
      <x:c r="AL96" s="44"/>
      <x:c r="AM96" s="44"/>
      <x:c r="AN96" s="44"/>
      <x:c r="AO96" s="44"/>
      <x:c r="AP96" s="44"/>
      <x:c r="AQ96" s="44"/>
      <x:c r="AR96" s="44"/>
      <x:c r="AS96" s="44"/>
      <x:c r="AT96" s="44"/>
      <x:c r="AU96" s="44"/>
      <x:c r="AV96" s="44"/>
      <x:c r="AW96" s="44"/>
      <x:c r="AX96" s="44"/>
      <x:c r="AY96" s="44"/>
      <x:c r="A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4"/>
      <x:c r="AL97" s="44"/>
      <x:c r="AM97" s="44"/>
      <x:c r="AN97" s="44"/>
      <x:c r="AO97" s="44"/>
      <x:c r="AP97" s="44"/>
      <x:c r="AQ97" s="44"/>
      <x:c r="AR97" s="44"/>
      <x:c r="AS97" s="44"/>
      <x:c r="AT97" s="44"/>
      <x:c r="AU97" s="44"/>
      <x:c r="AV97" s="44"/>
      <x:c r="AW97" s="44"/>
      <x:c r="AX97" s="44"/>
      <x:c r="AY97" s="44"/>
      <x:c r="A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4"/>
      <x:c r="AL98" s="44"/>
      <x:c r="AM98" s="44"/>
      <x:c r="AN98" s="44"/>
      <x:c r="AO98" s="44"/>
      <x:c r="AP98" s="44"/>
      <x:c r="AQ98" s="44"/>
      <x:c r="AR98" s="44"/>
      <x:c r="AS98" s="44"/>
      <x:c r="AT98" s="44"/>
      <x:c r="AU98" s="44"/>
      <x:c r="AV98" s="44"/>
      <x:c r="AW98" s="44"/>
      <x:c r="AX98" s="44"/>
      <x:c r="AY98" s="44"/>
      <x:c r="A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4"/>
      <x:c r="AL99" s="44"/>
      <x:c r="AM99" s="44"/>
      <x:c r="AN99" s="44"/>
      <x:c r="AO99" s="44"/>
      <x:c r="AP99" s="44"/>
      <x:c r="AQ99" s="44"/>
      <x:c r="AR99" s="44"/>
      <x:c r="AS99" s="44"/>
      <x:c r="AT99" s="44"/>
      <x:c r="AU99" s="44"/>
      <x:c r="AV99" s="44"/>
      <x:c r="AW99" s="44"/>
      <x:c r="AX99" s="44"/>
      <x:c r="AY99" s="44"/>
      <x:c r="A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4"/>
      <x:c r="AL100" s="44"/>
      <x:c r="AM100" s="44"/>
      <x:c r="AN100" s="44"/>
      <x:c r="AO100" s="44"/>
      <x:c r="AP100" s="44"/>
      <x:c r="AQ100" s="44"/>
      <x:c r="AR100" s="44"/>
      <x:c r="AS100" s="44"/>
      <x:c r="AT100" s="44"/>
      <x:c r="AU100" s="44"/>
      <x:c r="AV100" s="44"/>
      <x:c r="AW100" s="44"/>
      <x:c r="AX100" s="44"/>
      <x:c r="AY100" s="44"/>
      <x:c r="AZ100" s="44"/>
    </x:row>
  </x:sheetData>
  <x:mergeCells>
    <x:mergeCell ref="A1:J2"/>
  </x:mergeCells>
  <x:conditionalFormatting sqref="J5:J9">
    <x:cfRule type="expression" dxfId="4" priority="1">
      <x:formula>RIGHT(J5,4)="PASS"</x:formula>
    </x:cfRule>
    <x:cfRule type="expression" dxfId="5" priority="2">
      <x:formula>RIGHT(J5,4)="FAIL"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cedf29126a49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22" t="str">
        <x:v>case_id</x:v>
      </x:c>
      <x:c r="B1" s="22" t="str">
        <x:v>purpose</x:v>
      </x:c>
      <x:c r="C1" s="22" t="str">
        <x:v>flow_rate_Lmin</x:v>
      </x:c>
      <x:c r="D1" s="22" t="str">
        <x:v>TIM_thickness_mm</x:v>
      </x:c>
      <x:c r="E1" s="22" t="str">
        <x:v>TIM_conductivity_W_mK</x:v>
      </x:c>
      <x:c r="F1" s="22" t="str">
        <x:v>TIM_resistance_theory_K_W</x:v>
      </x:c>
      <x:c r="G1" s="22" t="str">
        <x:v>predicted_system_Rth_K_W</x:v>
      </x:c>
      <x:c r="H1" s="22" t="str">
        <x:v>predicted_Tmax_C</x:v>
      </x:c>
      <x:c r="I1" s="22" t="str">
        <x:v>predicted_Tout_mass_weighted_C</x:v>
      </x:c>
      <x:c r="J1" s="22" t="str">
        <x:v>predicted_pressure_drop_Pa</x:v>
      </x:c>
      <x:c r="K1" s="22" t="str">
        <x:v>flow_rate_m3_s</x:v>
      </x:c>
      <x:c r="L1" s="22" t="str">
        <x:v>pump_power_from_pressure_W</x:v>
      </x:c>
      <x:c r="M1" s="22" t="str">
        <x:v>independent_pump_model_prediction_W</x:v>
      </x:c>
      <x:c r="N1" s="22" t="str">
        <x:v>pump_model_vs_physics_difference_percent</x:v>
      </x:c>
      <x:c r="O1" s="22" t="str">
        <x:v>thermal_constraint_85C</x:v>
      </x:c>
      <x:c r="P1" s="22" t="str">
        <x:v>Rth_feature_set</x:v>
      </x:c>
      <x:c r="Q1" s="22" t="str">
        <x:v>Rth_model</x:v>
      </x:c>
      <x:c r="R1" s="22" t="str">
        <x:v>Tout_feature_set</x:v>
      </x:c>
      <x:c r="S1" s="22" t="str">
        <x:v>Tout_model</x:v>
      </x:c>
      <x:c r="T1" s="22" t="str">
        <x:v>pressure_drop_feature_set</x:v>
      </x:c>
      <x:c r="U1" s="22" t="str">
        <x:v>pressure_drop_model</x:v>
      </x:c>
      <x:c r="V1" s="22" t="str">
        <x:v>pump_feature_set</x:v>
      </x:c>
      <x:c r="W1" s="22" t="str">
        <x:v>pump_model</x:v>
      </x:c>
      <x:c r="X1" s="22" t="str">
        <x:v>channel_width_mm</x:v>
      </x:c>
      <x:c r="Y1" s="22" t="str">
        <x:v>channel_height_mm</x:v>
      </x:c>
      <x:c r="Z1" s="22" t="str">
        <x:v>number_channels</x:v>
      </x:c>
      <x:c r="AA1" s="22" t="str">
        <x:v>heat_load_W</x:v>
      </x:c>
      <x:c r="AB1" s="22" t="str">
        <x:v>upstream_temperature_C</x:v>
      </x:c>
      <x:c r="AC1" s="44"/>
      <x:c r="AD1" s="44"/>
      <x:c r="AE1" s="44"/>
      <x:c r="AF1" s="44"/>
      <x:c r="AG1" s="44"/>
      <x:c r="AH1" s="44"/>
      <x:c r="AI1" s="44"/>
      <x:c r="AJ1" s="44"/>
      <x:c r="AK1" s="44"/>
      <x:c r="AL1" s="44"/>
      <x:c r="AM1" s="44"/>
      <x:c r="AN1" s="44"/>
      <x:c r="AO1" s="44"/>
      <x:c r="AP1" s="44"/>
      <x:c r="AQ1" s="44"/>
      <x:c r="AR1" s="44"/>
      <x:c r="AS1" s="44"/>
      <x:c r="AT1" s="44"/>
      <x:c r="AU1" s="44"/>
      <x:c r="AV1" s="44"/>
      <x:c r="AW1" s="44"/>
      <x:c r="AX1" s="44"/>
      <x:c r="AY1" s="44"/>
      <x:c r="AZ1" s="44"/>
    </x:row>
    <x:row r="2">
      <x:c r="A2" s="47" t="str">
        <x:v>V1_low_flow_stress</x:v>
      </x:c>
      <x:c r="B2" s="47" t="str">
        <x:v>Low-flow thermal stress</x:v>
      </x:c>
      <x:c r="C2" s="47" t="n">
        <x:v>0.12</x:v>
      </x:c>
      <x:c r="D2" s="47" t="n">
        <x:v>0.14</x:v>
      </x:c>
      <x:c r="E2" s="47" t="n">
        <x:v>2</x:v>
      </x:c>
      <x:c r="F2" s="47" t="n">
        <x:v>0.7000000000000001</x:v>
      </x:c>
      <x:c r="G2" s="47" t="n">
        <x:v>1.0555411811959883</x:v>
      </x:c>
      <x:c r="H2" s="47" t="n">
        <x:v>130.55411811959883</x:v>
      </x:c>
      <x:c r="I2" s="47" t="n">
        <x:v>37.106559572192516</x:v>
      </x:c>
      <x:c r="J2" s="47" t="n">
        <x:v>3712.62810459749</x:v>
      </x:c>
      <x:c r="K2" s="47" t="n">
        <x:v>0.000002</x:v>
      </x:c>
      <x:c r="L2" s="47" t="n">
        <x:v>0.00742525620919498</x:v>
      </x:c>
      <x:c r="M2" s="47" t="n">
        <x:v>0.007483400956399721</x:v>
      </x:c>
      <x:c r="N2" s="47" t="n">
        <x:v>0.7830672177040617</x:v>
      </x:c>
      <x:c r="O2" s="47" t="str">
        <x:v>FAIL</x:v>
      </x:c>
      <x:c r="P2" s="47" t="str">
        <x:v>physics_features</x:v>
      </x:c>
      <x:c r="Q2" s="47" t="str">
        <x:v>gaussian_process</x:v>
      </x:c>
      <x:c r="R2" s="47" t="str">
        <x:v>physics_features</x:v>
      </x:c>
      <x:c r="S2" s="47" t="str">
        <x:v>gaussian_process</x:v>
      </x:c>
      <x:c r="T2" s="47" t="str">
        <x:v>flow_only</x:v>
      </x:c>
      <x:c r="U2" s="47" t="str">
        <x:v>gaussian_process</x:v>
      </x:c>
      <x:c r="V2" s="47" t="str">
        <x:v>flow_only</x:v>
      </x:c>
      <x:c r="W2" s="47" t="str">
        <x:v>gaussian_process</x:v>
      </x:c>
      <x:c r="X2" s="47" t="n">
        <x:v>0.3</x:v>
      </x:c>
      <x:c r="Y2" s="47" t="n">
        <x:v>0.7</x:v>
      </x:c>
      <x:c r="Z2" s="47" t="n">
        <x:v>10</x:v>
      </x:c>
      <x:c r="AA2" s="47" t="n">
        <x:v>100</x:v>
      </x:c>
      <x:c r="AB2" s="47" t="n">
        <x:v>25</x:v>
      </x:c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</x:row>
    <x:row r="3">
      <x:c r="A3" s="47" t="str">
        <x:v>V2_near_limit</x:v>
      </x:c>
      <x:c r="B3" s="47" t="str">
        <x:v>Near thermal constraint</x:v>
      </x:c>
      <x:c r="C3" s="47" t="n">
        <x:v>0.18</x:v>
      </x:c>
      <x:c r="D3" s="47" t="n">
        <x:v>0.1</x:v>
      </x:c>
      <x:c r="E3" s="47" t="n">
        <x:v>4.5</x:v>
      </x:c>
      <x:c r="F3" s="47" t="n">
        <x:v>0.2222222222222222</x:v>
      </x:c>
      <x:c r="G3" s="47" t="n">
        <x:v>0.5377718880798611</x:v>
      </x:c>
      <x:c r="H3" s="47" t="n">
        <x:v>78.77718880798611</x:v>
      </x:c>
      <x:c r="I3" s="47" t="n">
        <x:v>32.901639309652346</x:v>
      </x:c>
      <x:c r="J3" s="47" t="n">
        <x:v>6044.184833927884</x:v>
      </x:c>
      <x:c r="K3" s="47" t="n">
        <x:v>0.000003</x:v>
      </x:c>
      <x:c r="L3" s="47" t="n">
        <x:v>0.01813255450178365</x:v>
      </x:c>
      <x:c r="M3" s="47" t="n">
        <x:v>0.018057044127424968</x:v>
      </x:c>
      <x:c r="N3" s="47" t="n">
        <x:v>0.4164353916667177</x:v>
      </x:c>
      <x:c r="O3" s="47" t="str">
        <x:v>PASS</x:v>
      </x:c>
      <x:c r="P3" s="47" t="str">
        <x:v>physics_features</x:v>
      </x:c>
      <x:c r="Q3" s="47" t="str">
        <x:v>gaussian_process</x:v>
      </x:c>
      <x:c r="R3" s="47" t="str">
        <x:v>physics_features</x:v>
      </x:c>
      <x:c r="S3" s="47" t="str">
        <x:v>gaussian_process</x:v>
      </x:c>
      <x:c r="T3" s="47" t="str">
        <x:v>flow_only</x:v>
      </x:c>
      <x:c r="U3" s="47" t="str">
        <x:v>gaussian_process</x:v>
      </x:c>
      <x:c r="V3" s="47" t="str">
        <x:v>flow_only</x:v>
      </x:c>
      <x:c r="W3" s="47" t="str">
        <x:v>gaussian_process</x:v>
      </x:c>
      <x:c r="X3" s="47" t="n">
        <x:v>0.3</x:v>
      </x:c>
      <x:c r="Y3" s="47" t="n">
        <x:v>0.7</x:v>
      </x:c>
      <x:c r="Z3" s="47" t="n">
        <x:v>10</x:v>
      </x:c>
      <x:c r="AA3" s="47" t="n">
        <x:v>100</x:v>
      </x:c>
      <x:c r="AB3" s="47" t="n">
        <x:v>25</x:v>
      </x:c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</x:row>
    <x:row r="4">
      <x:c r="A4" s="47" t="str">
        <x:v>V3_center_interpolation</x:v>
      </x:c>
      <x:c r="B4" s="47" t="str">
        <x:v>Central interpolation</x:v>
      </x:c>
      <x:c r="C4" s="47" t="n">
        <x:v>0.23</x:v>
      </x:c>
      <x:c r="D4" s="47" t="n">
        <x:v>0.09</x:v>
      </x:c>
      <x:c r="E4" s="47" t="n">
        <x:v>3.8</x:v>
      </x:c>
      <x:c r="F4" s="47" t="n">
        <x:v>0.23684210526315785</x:v>
      </x:c>
      <x:c r="G4" s="47" t="n">
        <x:v>0.5301013642089466</x:v>
      </x:c>
      <x:c r="H4" s="47" t="n">
        <x:v>78.01013642089467</x:v>
      </x:c>
      <x:c r="I4" s="47" t="n">
        <x:v>31.35627153789479</x:v>
      </x:c>
      <x:c r="J4" s="47" t="n">
        <x:v>8064.0698619206505</x:v>
      </x:c>
      <x:c r="K4" s="47" t="n">
        <x:v>0.000003833333333333334</x:v>
      </x:c>
      <x:c r="L4" s="47" t="n">
        <x:v>0.030912267804029163</x:v>
      </x:c>
      <x:c r="M4" s="47" t="n">
        <x:v>0.03127888625675474</x:v>
      </x:c>
      <x:c r="N4" s="47" t="n">
        <x:v>1.1859966245433233</x:v>
      </x:c>
      <x:c r="O4" s="47" t="str">
        <x:v>PASS</x:v>
      </x:c>
      <x:c r="P4" s="47" t="str">
        <x:v>physics_features</x:v>
      </x:c>
      <x:c r="Q4" s="47" t="str">
        <x:v>gaussian_process</x:v>
      </x:c>
      <x:c r="R4" s="47" t="str">
        <x:v>physics_features</x:v>
      </x:c>
      <x:c r="S4" s="47" t="str">
        <x:v>gaussian_process</x:v>
      </x:c>
      <x:c r="T4" s="47" t="str">
        <x:v>flow_only</x:v>
      </x:c>
      <x:c r="U4" s="47" t="str">
        <x:v>gaussian_process</x:v>
      </x:c>
      <x:c r="V4" s="47" t="str">
        <x:v>flow_only</x:v>
      </x:c>
      <x:c r="W4" s="47" t="str">
        <x:v>gaussian_process</x:v>
      </x:c>
      <x:c r="X4" s="47" t="n">
        <x:v>0.3</x:v>
      </x:c>
      <x:c r="Y4" s="47" t="n">
        <x:v>0.7</x:v>
      </x:c>
      <x:c r="Z4" s="47" t="n">
        <x:v>10</x:v>
      </x:c>
      <x:c r="AA4" s="47" t="n">
        <x:v>100</x:v>
      </x:c>
      <x:c r="AB4" s="47" t="n">
        <x:v>25</x:v>
      </x:c>
      <x:c r="AC4" s="44"/>
      <x:c r="AD4" s="44"/>
      <x:c r="AE4" s="44"/>
      <x:c r="AF4" s="44"/>
      <x:c r="AG4" s="44"/>
      <x:c r="AH4" s="44"/>
      <x:c r="AI4" s="44"/>
      <x:c r="AJ4" s="44"/>
      <x:c r="AK4" s="44"/>
      <x:c r="AL4" s="44"/>
      <x:c r="AM4" s="44"/>
      <x:c r="AN4" s="44"/>
      <x:c r="AO4" s="44"/>
      <x:c r="AP4" s="44"/>
      <x:c r="AQ4" s="44"/>
      <x:c r="AR4" s="44"/>
      <x:c r="AS4" s="44"/>
      <x:c r="AT4" s="44"/>
      <x:c r="AU4" s="44"/>
      <x:c r="AV4" s="44"/>
      <x:c r="AW4" s="44"/>
      <x:c r="AX4" s="44"/>
      <x:c r="AY4" s="44"/>
      <x:c r="AZ4" s="44"/>
    </x:row>
    <x:row r="5">
      <x:c r="A5" s="47" t="str">
        <x:v>V4_high_performance</x:v>
      </x:c>
      <x:c r="B5" s="47" t="str">
        <x:v>High-performance condition</x:v>
      </x:c>
      <x:c r="C5" s="47" t="n">
        <x:v>0.27</x:v>
      </x:c>
      <x:c r="D5" s="47" t="n">
        <x:v>0.06</x:v>
      </x:c>
      <x:c r="E5" s="47" t="n">
        <x:v>5</x:v>
      </x:c>
      <x:c r="F5" s="47" t="n">
        <x:v>0.11999999999999998</x:v>
      </x:c>
      <x:c r="G5" s="47" t="n">
        <x:v>0.40134838209338847</x:v>
      </x:c>
      <x:c r="H5" s="47" t="n">
        <x:v>65.13483820933885</x:v>
      </x:c>
      <x:c r="I5" s="47" t="n">
        <x:v>30.45155851246638</x:v>
      </x:c>
      <x:c r="J5" s="47" t="n">
        <x:v>9701.54625083356</x:v>
      </x:c>
      <x:c r="K5" s="47" t="n">
        <x:v>0.0000045</x:v>
      </x:c>
      <x:c r="L5" s="47" t="n">
        <x:v>0.043656958128751026</x:v>
      </x:c>
      <x:c r="M5" s="47" t="n">
        <x:v>0.04437648657228207</x:v>
      </x:c>
      <x:c r="N5" s="47" t="n">
        <x:v>1.6481414976486524</x:v>
      </x:c>
      <x:c r="O5" s="47" t="str">
        <x:v>PASS</x:v>
      </x:c>
      <x:c r="P5" s="47" t="str">
        <x:v>physics_features</x:v>
      </x:c>
      <x:c r="Q5" s="47" t="str">
        <x:v>gaussian_process</x:v>
      </x:c>
      <x:c r="R5" s="47" t="str">
        <x:v>physics_features</x:v>
      </x:c>
      <x:c r="S5" s="47" t="str">
        <x:v>gaussian_process</x:v>
      </x:c>
      <x:c r="T5" s="47" t="str">
        <x:v>flow_only</x:v>
      </x:c>
      <x:c r="U5" s="47" t="str">
        <x:v>gaussian_process</x:v>
      </x:c>
      <x:c r="V5" s="47" t="str">
        <x:v>flow_only</x:v>
      </x:c>
      <x:c r="W5" s="47" t="str">
        <x:v>gaussian_process</x:v>
      </x:c>
      <x:c r="X5" s="47" t="n">
        <x:v>0.3</x:v>
      </x:c>
      <x:c r="Y5" s="47" t="n">
        <x:v>0.7</x:v>
      </x:c>
      <x:c r="Z5" s="47" t="n">
        <x:v>10</x:v>
      </x:c>
      <x:c r="AA5" s="47" t="n">
        <x:v>100</x:v>
      </x:c>
      <x:c r="AB5" s="47" t="n">
        <x:v>25</x:v>
      </x:c>
      <x:c r="AC5" s="44"/>
      <x:c r="AD5" s="44"/>
      <x:c r="AE5" s="44"/>
      <x:c r="AF5" s="44"/>
      <x:c r="AG5" s="44"/>
      <x:c r="AH5" s="44"/>
      <x:c r="AI5" s="44"/>
      <x:c r="AJ5" s="44"/>
      <x:c r="AK5" s="44"/>
      <x:c r="AL5" s="44"/>
      <x:c r="AM5" s="44"/>
      <x:c r="AN5" s="44"/>
      <x:c r="AO5" s="44"/>
      <x:c r="AP5" s="44"/>
      <x:c r="AQ5" s="44"/>
      <x:c r="AR5" s="44"/>
      <x:c r="AS5" s="44"/>
      <x:c r="AT5" s="44"/>
      <x:c r="AU5" s="44"/>
      <x:c r="AV5" s="44"/>
      <x:c r="AW5" s="44"/>
      <x:c r="AX5" s="44"/>
      <x:c r="AY5" s="44"/>
      <x:c r="AZ5" s="44"/>
    </x:row>
    <x:row r="6">
      <x:c r="A6" s="47" t="str">
        <x:v>V5_flow_TIM_interaction</x:v>
      </x:c>
      <x:c r="B6" s="47" t="str">
        <x:v>High flow with unfavorable TIM</x:v>
      </x:c>
      <x:c r="C6" s="47" t="n">
        <x:v>0.28</x:v>
      </x:c>
      <x:c r="D6" s="47" t="n">
        <x:v>0.13</x:v>
      </x:c>
      <x:c r="E6" s="47" t="n">
        <x:v>2.5</x:v>
      </x:c>
      <x:c r="F6" s="47" t="n">
        <x:v>0.52</x:v>
      </x:c>
      <x:c r="G6" s="47" t="n">
        <x:v>0.7932757698155009</x:v>
      </x:c>
      <x:c r="H6" s="47" t="n">
        <x:v>104.32757698155008</x:v>
      </x:c>
      <x:c r="I6" s="47" t="n">
        <x:v>30.23786330040544</x:v>
      </x:c>
      <x:c r="J6" s="47" t="n">
        <x:v>10111.861347163594</x:v>
      </x:c>
      <x:c r="K6" s="47" t="n">
        <x:v>0.000004666666666666667</x:v>
      </x:c>
      <x:c r="L6" s="47" t="n">
        <x:v>0.04718868628676345</x:v>
      </x:c>
      <x:c r="M6" s="47" t="n">
        <x:v>0.04780857103955974</x:v>
      </x:c>
      <x:c r="N6" s="47" t="n">
        <x:v>1.313630027819128</x:v>
      </x:c>
      <x:c r="O6" s="47" t="str">
        <x:v>FAIL</x:v>
      </x:c>
      <x:c r="P6" s="47" t="str">
        <x:v>physics_features</x:v>
      </x:c>
      <x:c r="Q6" s="47" t="str">
        <x:v>gaussian_process</x:v>
      </x:c>
      <x:c r="R6" s="47" t="str">
        <x:v>physics_features</x:v>
      </x:c>
      <x:c r="S6" s="47" t="str">
        <x:v>gaussian_process</x:v>
      </x:c>
      <x:c r="T6" s="47" t="str">
        <x:v>flow_only</x:v>
      </x:c>
      <x:c r="U6" s="47" t="str">
        <x:v>gaussian_process</x:v>
      </x:c>
      <x:c r="V6" s="47" t="str">
        <x:v>flow_only</x:v>
      </x:c>
      <x:c r="W6" s="47" t="str">
        <x:v>gaussian_process</x:v>
      </x:c>
      <x:c r="X6" s="47" t="n">
        <x:v>0.3</x:v>
      </x:c>
      <x:c r="Y6" s="47" t="n">
        <x:v>0.7</x:v>
      </x:c>
      <x:c r="Z6" s="47" t="n">
        <x:v>10</x:v>
      </x:c>
      <x:c r="AA6" s="47" t="n">
        <x:v>100</x:v>
      </x:c>
      <x:c r="AB6" s="47" t="n">
        <x:v>25</x:v>
      </x:c>
      <x:c r="AC6" s="44"/>
      <x:c r="AD6" s="44"/>
      <x:c r="AE6" s="44"/>
      <x:c r="AF6" s="44"/>
      <x:c r="AG6" s="44"/>
      <x:c r="AH6" s="44"/>
      <x:c r="AI6" s="44"/>
      <x:c r="AJ6" s="44"/>
      <x:c r="AK6" s="44"/>
      <x:c r="AL6" s="44"/>
      <x:c r="AM6" s="44"/>
      <x:c r="AN6" s="44"/>
      <x:c r="AO6" s="44"/>
      <x:c r="AP6" s="44"/>
      <x:c r="AQ6" s="44"/>
      <x:c r="AR6" s="44"/>
      <x:c r="AS6" s="44"/>
      <x:c r="AT6" s="44"/>
      <x:c r="AU6" s="44"/>
      <x:c r="AV6" s="44"/>
      <x:c r="AW6" s="44"/>
      <x:c r="AX6" s="44"/>
      <x:c r="AY6" s="44"/>
      <x:c r="AZ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  <x:c r="AH7" s="44"/>
      <x:c r="AI7" s="44"/>
      <x:c r="AJ7" s="44"/>
      <x:c r="AK7" s="44"/>
      <x:c r="AL7" s="44"/>
      <x:c r="AM7" s="44"/>
      <x:c r="AN7" s="44"/>
      <x:c r="AO7" s="44"/>
      <x:c r="AP7" s="44"/>
      <x:c r="AQ7" s="44"/>
      <x:c r="AR7" s="44"/>
      <x:c r="AS7" s="44"/>
      <x:c r="AT7" s="44"/>
      <x:c r="AU7" s="44"/>
      <x:c r="AV7" s="44"/>
      <x:c r="AW7" s="44"/>
      <x:c r="AX7" s="44"/>
      <x:c r="AY7" s="44"/>
      <x:c r="AZ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  <x:c r="AA8" s="44"/>
      <x:c r="AB8" s="44"/>
      <x:c r="AC8" s="44"/>
      <x:c r="AD8" s="44"/>
      <x:c r="AE8" s="44"/>
      <x:c r="AF8" s="44"/>
      <x:c r="AG8" s="44"/>
      <x:c r="AH8" s="44"/>
      <x:c r="AI8" s="44"/>
      <x:c r="AJ8" s="44"/>
      <x:c r="AK8" s="44"/>
      <x:c r="AL8" s="44"/>
      <x:c r="AM8" s="44"/>
      <x:c r="AN8" s="44"/>
      <x:c r="AO8" s="44"/>
      <x:c r="AP8" s="44"/>
      <x:c r="AQ8" s="44"/>
      <x:c r="AR8" s="44"/>
      <x:c r="AS8" s="44"/>
      <x:c r="AT8" s="44"/>
      <x:c r="AU8" s="44"/>
      <x:c r="AV8" s="44"/>
      <x:c r="AW8" s="44"/>
      <x:c r="AX8" s="44"/>
      <x:c r="AY8" s="44"/>
      <x:c r="A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  <x:c r="AA9" s="44"/>
      <x:c r="AB9" s="44"/>
      <x:c r="AC9" s="44"/>
      <x:c r="AD9" s="44"/>
      <x:c r="AE9" s="44"/>
      <x:c r="AF9" s="44"/>
      <x:c r="AG9" s="44"/>
      <x:c r="AH9" s="44"/>
      <x:c r="AI9" s="44"/>
      <x:c r="AJ9" s="44"/>
      <x:c r="AK9" s="44"/>
      <x:c r="AL9" s="44"/>
      <x:c r="AM9" s="44"/>
      <x:c r="AN9" s="44"/>
      <x:c r="AO9" s="44"/>
      <x:c r="AP9" s="44"/>
      <x:c r="AQ9" s="44"/>
      <x:c r="AR9" s="44"/>
      <x:c r="AS9" s="44"/>
      <x:c r="AT9" s="44"/>
      <x:c r="AU9" s="44"/>
      <x:c r="AV9" s="44"/>
      <x:c r="AW9" s="44"/>
      <x:c r="AX9" s="44"/>
      <x:c r="AY9" s="44"/>
      <x:c r="A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4"/>
      <x:c r="AL10" s="44"/>
      <x:c r="AM10" s="44"/>
      <x:c r="AN10" s="44"/>
      <x:c r="AO10" s="44"/>
      <x:c r="AP10" s="44"/>
      <x:c r="AQ10" s="44"/>
      <x:c r="AR10" s="44"/>
      <x:c r="AS10" s="44"/>
      <x:c r="AT10" s="44"/>
      <x:c r="AU10" s="44"/>
      <x:c r="AV10" s="44"/>
      <x:c r="AW10" s="44"/>
      <x:c r="AX10" s="44"/>
      <x:c r="AY10" s="44"/>
      <x:c r="A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4"/>
      <x:c r="AL11" s="44"/>
      <x:c r="AM11" s="44"/>
      <x:c r="AN11" s="44"/>
      <x:c r="AO11" s="44"/>
      <x:c r="AP11" s="44"/>
      <x:c r="AQ11" s="44"/>
      <x:c r="AR11" s="44"/>
      <x:c r="AS11" s="44"/>
      <x:c r="AT11" s="44"/>
      <x:c r="AU11" s="44"/>
      <x:c r="AV11" s="44"/>
      <x:c r="AW11" s="44"/>
      <x:c r="AX11" s="44"/>
      <x:c r="AY11" s="44"/>
      <x:c r="A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4"/>
      <x:c r="AL12" s="44"/>
      <x:c r="AM12" s="44"/>
      <x:c r="AN12" s="44"/>
      <x:c r="AO12" s="44"/>
      <x:c r="AP12" s="44"/>
      <x:c r="AQ12" s="44"/>
      <x:c r="AR12" s="44"/>
      <x:c r="AS12" s="44"/>
      <x:c r="AT12" s="44"/>
      <x:c r="AU12" s="44"/>
      <x:c r="AV12" s="44"/>
      <x:c r="AW12" s="44"/>
      <x:c r="AX12" s="44"/>
      <x:c r="AY12" s="44"/>
      <x:c r="A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  <x:c r="AR13" s="44"/>
      <x:c r="AS13" s="44"/>
      <x:c r="AT13" s="44"/>
      <x:c r="AU13" s="44"/>
      <x:c r="AV13" s="44"/>
      <x:c r="AW13" s="44"/>
      <x:c r="AX13" s="44"/>
      <x:c r="AY13" s="44"/>
      <x:c r="A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4"/>
      <x:c r="AL14" s="44"/>
      <x:c r="AM14" s="44"/>
      <x:c r="AN14" s="44"/>
      <x:c r="AO14" s="44"/>
      <x:c r="AP14" s="44"/>
      <x:c r="AQ14" s="44"/>
      <x:c r="AR14" s="44"/>
      <x:c r="AS14" s="44"/>
      <x:c r="AT14" s="44"/>
      <x:c r="AU14" s="44"/>
      <x:c r="AV14" s="44"/>
      <x:c r="AW14" s="44"/>
      <x:c r="AX14" s="44"/>
      <x:c r="AY14" s="44"/>
      <x:c r="A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4"/>
      <x:c r="AL15" s="44"/>
      <x:c r="AM15" s="44"/>
      <x:c r="AN15" s="44"/>
      <x:c r="AO15" s="44"/>
      <x:c r="AP15" s="44"/>
      <x:c r="AQ15" s="44"/>
      <x:c r="AR15" s="44"/>
      <x:c r="AS15" s="44"/>
      <x:c r="AT15" s="44"/>
      <x:c r="AU15" s="44"/>
      <x:c r="AV15" s="44"/>
      <x:c r="AW15" s="44"/>
      <x:c r="AX15" s="44"/>
      <x:c r="AY15" s="44"/>
      <x:c r="A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4"/>
      <x:c r="AL16" s="44"/>
      <x:c r="AM16" s="44"/>
      <x:c r="AN16" s="44"/>
      <x:c r="AO16" s="44"/>
      <x:c r="AP16" s="44"/>
      <x:c r="AQ16" s="44"/>
      <x:c r="AR16" s="44"/>
      <x:c r="AS16" s="44"/>
      <x:c r="AT16" s="44"/>
      <x:c r="AU16" s="44"/>
      <x:c r="AV16" s="44"/>
      <x:c r="AW16" s="44"/>
      <x:c r="AX16" s="44"/>
      <x:c r="AY16" s="44"/>
      <x:c r="A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/>
      <x:c r="AN17" s="44"/>
      <x:c r="AO17" s="44"/>
      <x:c r="AP17" s="44"/>
      <x:c r="AQ17" s="44"/>
      <x:c r="AR17" s="44"/>
      <x:c r="AS17" s="44"/>
      <x:c r="AT17" s="44"/>
      <x:c r="AU17" s="44"/>
      <x:c r="AV17" s="44"/>
      <x:c r="AW17" s="44"/>
      <x:c r="AX17" s="44"/>
      <x:c r="AY17" s="44"/>
      <x:c r="A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4"/>
      <x:c r="AL18" s="44"/>
      <x:c r="AM18" s="44"/>
      <x:c r="AN18" s="44"/>
      <x:c r="AO18" s="44"/>
      <x:c r="AP18" s="44"/>
      <x:c r="AQ18" s="44"/>
      <x:c r="AR18" s="44"/>
      <x:c r="AS18" s="44"/>
      <x:c r="AT18" s="44"/>
      <x:c r="AU18" s="44"/>
      <x:c r="AV18" s="44"/>
      <x:c r="AW18" s="44"/>
      <x:c r="AX18" s="44"/>
      <x:c r="AY18" s="44"/>
      <x:c r="A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4"/>
      <x:c r="AL19" s="44"/>
      <x:c r="AM19" s="44"/>
      <x:c r="AN19" s="44"/>
      <x:c r="AO19" s="44"/>
      <x:c r="AP19" s="44"/>
      <x:c r="AQ19" s="44"/>
      <x:c r="AR19" s="44"/>
      <x:c r="AS19" s="44"/>
      <x:c r="AT19" s="44"/>
      <x:c r="AU19" s="44"/>
      <x:c r="AV19" s="44"/>
      <x:c r="AW19" s="44"/>
      <x:c r="AX19" s="44"/>
      <x:c r="AY19" s="44"/>
      <x:c r="A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  <x:c r="AR20" s="44"/>
      <x:c r="AS20" s="44"/>
      <x:c r="AT20" s="44"/>
      <x:c r="AU20" s="44"/>
      <x:c r="AV20" s="44"/>
      <x:c r="AW20" s="44"/>
      <x:c r="AX20" s="44"/>
      <x:c r="AY20" s="44"/>
      <x:c r="A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4"/>
      <x:c r="AL21" s="44"/>
      <x:c r="AM21" s="44"/>
      <x:c r="AN21" s="44"/>
      <x:c r="AO21" s="44"/>
      <x:c r="AP21" s="44"/>
      <x:c r="AQ21" s="44"/>
      <x:c r="AR21" s="44"/>
      <x:c r="AS21" s="44"/>
      <x:c r="AT21" s="44"/>
      <x:c r="AU21" s="44"/>
      <x:c r="AV21" s="44"/>
      <x:c r="AW21" s="44"/>
      <x:c r="AX21" s="44"/>
      <x:c r="AY21" s="44"/>
      <x:c r="A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4"/>
      <x:c r="AL22" s="44"/>
      <x:c r="AM22" s="44"/>
      <x:c r="AN22" s="44"/>
      <x:c r="AO22" s="44"/>
      <x:c r="AP22" s="44"/>
      <x:c r="AQ22" s="44"/>
      <x:c r="AR22" s="44"/>
      <x:c r="AS22" s="44"/>
      <x:c r="AT22" s="44"/>
      <x:c r="AU22" s="44"/>
      <x:c r="AV22" s="44"/>
      <x:c r="AW22" s="44"/>
      <x:c r="AX22" s="44"/>
      <x:c r="AY22" s="44"/>
      <x:c r="A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4"/>
      <x:c r="AL23" s="44"/>
      <x:c r="AM23" s="44"/>
      <x:c r="AN23" s="44"/>
      <x:c r="AO23" s="44"/>
      <x:c r="AP23" s="44"/>
      <x:c r="AQ23" s="44"/>
      <x:c r="AR23" s="44"/>
      <x:c r="AS23" s="44"/>
      <x:c r="AT23" s="44"/>
      <x:c r="AU23" s="44"/>
      <x:c r="AV23" s="44"/>
      <x:c r="AW23" s="44"/>
      <x:c r="AX23" s="44"/>
      <x:c r="AY23" s="44"/>
      <x:c r="A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4"/>
      <x:c r="AL25" s="44"/>
      <x:c r="AM25" s="44"/>
      <x:c r="AN25" s="44"/>
      <x:c r="AO25" s="44"/>
      <x:c r="AP25" s="44"/>
      <x:c r="AQ25" s="44"/>
      <x:c r="AR25" s="44"/>
      <x:c r="AS25" s="44"/>
      <x:c r="AT25" s="44"/>
      <x:c r="AU25" s="44"/>
      <x:c r="AV25" s="44"/>
      <x:c r="AW25" s="44"/>
      <x:c r="AX25" s="44"/>
      <x:c r="AY25" s="44"/>
      <x:c r="A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4"/>
      <x:c r="AL26" s="44"/>
      <x:c r="AM26" s="44"/>
      <x:c r="AN26" s="44"/>
      <x:c r="AO26" s="44"/>
      <x:c r="AP26" s="44"/>
      <x:c r="AQ26" s="44"/>
      <x:c r="AR26" s="44"/>
      <x:c r="AS26" s="44"/>
      <x:c r="AT26" s="44"/>
      <x:c r="AU26" s="44"/>
      <x:c r="AV26" s="44"/>
      <x:c r="AW26" s="44"/>
      <x:c r="AX26" s="44"/>
      <x:c r="AY26" s="44"/>
      <x:c r="A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/>
      <x:c r="AT27" s="44"/>
      <x:c r="AU27" s="44"/>
      <x:c r="AV27" s="44"/>
      <x:c r="AW27" s="44"/>
      <x:c r="AX27" s="44"/>
      <x:c r="AY27" s="44"/>
      <x:c r="A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/>
      <x:c r="AT28" s="44"/>
      <x:c r="AU28" s="44"/>
      <x:c r="AV28" s="44"/>
      <x:c r="AW28" s="44"/>
      <x:c r="AX28" s="44"/>
      <x:c r="AY28" s="44"/>
      <x:c r="A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4"/>
      <x:c r="AL32" s="44"/>
      <x:c r="AM32" s="44"/>
      <x:c r="AN32" s="44"/>
      <x:c r="AO32" s="44"/>
      <x:c r="AP32" s="44"/>
      <x:c r="AQ32" s="44"/>
      <x:c r="AR32" s="44"/>
      <x:c r="AS32" s="44"/>
      <x:c r="AT32" s="44"/>
      <x:c r="AU32" s="44"/>
      <x:c r="AV32" s="44"/>
      <x:c r="AW32" s="44"/>
      <x:c r="AX32" s="44"/>
      <x:c r="AY32" s="44"/>
      <x:c r="A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4"/>
      <x:c r="AL33" s="44"/>
      <x:c r="AM33" s="44"/>
      <x:c r="AN33" s="44"/>
      <x:c r="AO33" s="44"/>
      <x:c r="AP33" s="44"/>
      <x:c r="AQ33" s="44"/>
      <x:c r="AR33" s="44"/>
      <x:c r="AS33" s="44"/>
      <x:c r="AT33" s="44"/>
      <x:c r="AU33" s="44"/>
      <x:c r="AV33" s="44"/>
      <x:c r="AW33" s="44"/>
      <x:c r="AX33" s="44"/>
      <x:c r="AY33" s="44"/>
      <x:c r="A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4"/>
      <x:c r="AL34" s="44"/>
      <x:c r="AM34" s="44"/>
      <x:c r="AN34" s="44"/>
      <x:c r="AO34" s="44"/>
      <x:c r="AP34" s="44"/>
      <x:c r="AQ34" s="44"/>
      <x:c r="AR34" s="44"/>
      <x:c r="AS34" s="44"/>
      <x:c r="AT34" s="44"/>
      <x:c r="AU34" s="44"/>
      <x:c r="AV34" s="44"/>
      <x:c r="AW34" s="44"/>
      <x:c r="AX34" s="44"/>
      <x:c r="AY34" s="44"/>
      <x:c r="A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4"/>
      <x:c r="AL35" s="44"/>
      <x:c r="AM35" s="44"/>
      <x:c r="AN35" s="44"/>
      <x:c r="AO35" s="44"/>
      <x:c r="AP35" s="44"/>
      <x:c r="AQ35" s="44"/>
      <x:c r="AR35" s="44"/>
      <x:c r="AS35" s="44"/>
      <x:c r="AT35" s="44"/>
      <x:c r="AU35" s="44"/>
      <x:c r="AV35" s="44"/>
      <x:c r="AW35" s="44"/>
      <x:c r="AX35" s="44"/>
      <x:c r="AY35" s="44"/>
      <x:c r="A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4"/>
      <x:c r="AL36" s="44"/>
      <x:c r="AM36" s="44"/>
      <x:c r="AN36" s="44"/>
      <x:c r="AO36" s="44"/>
      <x:c r="AP36" s="44"/>
      <x:c r="AQ36" s="44"/>
      <x:c r="AR36" s="44"/>
      <x:c r="AS36" s="44"/>
      <x:c r="AT36" s="44"/>
      <x:c r="AU36" s="44"/>
      <x:c r="AV36" s="44"/>
      <x:c r="AW36" s="44"/>
      <x:c r="AX36" s="44"/>
      <x:c r="AY36" s="44"/>
      <x:c r="A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4"/>
      <x:c r="AL37" s="44"/>
      <x:c r="AM37" s="44"/>
      <x:c r="AN37" s="44"/>
      <x:c r="AO37" s="44"/>
      <x:c r="AP37" s="44"/>
      <x:c r="AQ37" s="44"/>
      <x:c r="AR37" s="44"/>
      <x:c r="AS37" s="44"/>
      <x:c r="AT37" s="44"/>
      <x:c r="AU37" s="44"/>
      <x:c r="AV37" s="44"/>
      <x:c r="AW37" s="44"/>
      <x:c r="AX37" s="44"/>
      <x:c r="AY37" s="44"/>
      <x:c r="A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4"/>
      <x:c r="AL38" s="44"/>
      <x:c r="AM38" s="44"/>
      <x:c r="AN38" s="44"/>
      <x:c r="AO38" s="44"/>
      <x:c r="AP38" s="44"/>
      <x:c r="AQ38" s="44"/>
      <x:c r="AR38" s="44"/>
      <x:c r="AS38" s="44"/>
      <x:c r="AT38" s="44"/>
      <x:c r="AU38" s="44"/>
      <x:c r="AV38" s="44"/>
      <x:c r="AW38" s="44"/>
      <x:c r="AX38" s="44"/>
      <x:c r="AY38" s="44"/>
      <x:c r="A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4"/>
      <x:c r="AL39" s="44"/>
      <x:c r="AM39" s="44"/>
      <x:c r="AN39" s="44"/>
      <x:c r="AO39" s="44"/>
      <x:c r="AP39" s="44"/>
      <x:c r="AQ39" s="44"/>
      <x:c r="AR39" s="44"/>
      <x:c r="AS39" s="44"/>
      <x:c r="AT39" s="44"/>
      <x:c r="AU39" s="44"/>
      <x:c r="AV39" s="44"/>
      <x:c r="AW39" s="44"/>
      <x:c r="AX39" s="44"/>
      <x:c r="AY39" s="44"/>
      <x:c r="A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4"/>
      <x:c r="AL40" s="44"/>
      <x:c r="AM40" s="44"/>
      <x:c r="AN40" s="44"/>
      <x:c r="AO40" s="44"/>
      <x:c r="AP40" s="44"/>
      <x:c r="AQ40" s="44"/>
      <x:c r="AR40" s="44"/>
      <x:c r="AS40" s="44"/>
      <x:c r="AT40" s="44"/>
      <x:c r="AU40" s="44"/>
      <x:c r="AV40" s="44"/>
      <x:c r="AW40" s="44"/>
      <x:c r="AX40" s="44"/>
      <x:c r="AY40" s="44"/>
      <x:c r="A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/>
      <x:c r="AM41" s="44"/>
      <x:c r="AN41" s="44"/>
      <x:c r="AO41" s="44"/>
      <x:c r="AP41" s="44"/>
      <x:c r="AQ41" s="44"/>
      <x:c r="AR41" s="44"/>
      <x:c r="AS41" s="44"/>
      <x:c r="AT41" s="44"/>
      <x:c r="AU41" s="44"/>
      <x:c r="AV41" s="44"/>
      <x:c r="AW41" s="44"/>
      <x:c r="AX41" s="44"/>
      <x:c r="AY41" s="44"/>
      <x:c r="A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4"/>
      <x:c r="AL42" s="44"/>
      <x:c r="AM42" s="44"/>
      <x:c r="AN42" s="44"/>
      <x:c r="AO42" s="44"/>
      <x:c r="AP42" s="44"/>
      <x:c r="AQ42" s="44"/>
      <x:c r="AR42" s="44"/>
      <x:c r="AS42" s="44"/>
      <x:c r="AT42" s="44"/>
      <x:c r="AU42" s="44"/>
      <x:c r="AV42" s="44"/>
      <x:c r="AW42" s="44"/>
      <x:c r="AX42" s="44"/>
      <x:c r="AY42" s="44"/>
      <x:c r="A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4"/>
      <x:c r="AL43" s="44"/>
      <x:c r="AM43" s="44"/>
      <x:c r="AN43" s="44"/>
      <x:c r="AO43" s="44"/>
      <x:c r="AP43" s="44"/>
      <x:c r="AQ43" s="44"/>
      <x:c r="AR43" s="44"/>
      <x:c r="AS43" s="44"/>
      <x:c r="AT43" s="44"/>
      <x:c r="AU43" s="44"/>
      <x:c r="AV43" s="44"/>
      <x:c r="AW43" s="44"/>
      <x:c r="AX43" s="44"/>
      <x:c r="AY43" s="44"/>
      <x:c r="A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4"/>
      <x:c r="AL44" s="44"/>
      <x:c r="AM44" s="44"/>
      <x:c r="AN44" s="44"/>
      <x:c r="AO44" s="44"/>
      <x:c r="AP44" s="44"/>
      <x:c r="AQ44" s="44"/>
      <x:c r="AR44" s="44"/>
      <x:c r="AS44" s="44"/>
      <x:c r="AT44" s="44"/>
      <x:c r="AU44" s="44"/>
      <x:c r="AV44" s="44"/>
      <x:c r="AW44" s="44"/>
      <x:c r="AX44" s="44"/>
      <x:c r="AY44" s="44"/>
      <x:c r="A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4"/>
      <x:c r="AL45" s="44"/>
      <x:c r="AM45" s="44"/>
      <x:c r="AN45" s="44"/>
      <x:c r="AO45" s="44"/>
      <x:c r="AP45" s="44"/>
      <x:c r="AQ45" s="44"/>
      <x:c r="AR45" s="44"/>
      <x:c r="AS45" s="44"/>
      <x:c r="AT45" s="44"/>
      <x:c r="AU45" s="44"/>
      <x:c r="AV45" s="44"/>
      <x:c r="AW45" s="44"/>
      <x:c r="AX45" s="44"/>
      <x:c r="AY45" s="44"/>
      <x:c r="A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4"/>
      <x:c r="AL47" s="44"/>
      <x:c r="AM47" s="44"/>
      <x:c r="AN47" s="44"/>
      <x:c r="AO47" s="44"/>
      <x:c r="AP47" s="44"/>
      <x:c r="AQ47" s="44"/>
      <x:c r="AR47" s="44"/>
      <x:c r="AS47" s="44"/>
      <x:c r="AT47" s="44"/>
      <x:c r="AU47" s="44"/>
      <x:c r="AV47" s="44"/>
      <x:c r="AW47" s="44"/>
      <x:c r="AX47" s="44"/>
      <x:c r="AY47" s="44"/>
      <x:c r="A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4"/>
      <x:c r="AL48" s="44"/>
      <x:c r="AM48" s="44"/>
      <x:c r="AN48" s="44"/>
      <x:c r="AO48" s="44"/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4"/>
      <x:c r="AL49" s="44"/>
      <x:c r="AM49" s="44"/>
      <x:c r="AN49" s="44"/>
      <x:c r="AO49" s="44"/>
      <x:c r="AP49" s="44"/>
      <x:c r="AQ49" s="44"/>
      <x:c r="AR49" s="44"/>
      <x:c r="AS49" s="44"/>
      <x:c r="AT49" s="44"/>
      <x:c r="AU49" s="44"/>
      <x:c r="AV49" s="44"/>
      <x:c r="AW49" s="44"/>
      <x:c r="AX49" s="44"/>
      <x:c r="AY49" s="44"/>
      <x:c r="A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4"/>
      <x:c r="AL50" s="44"/>
      <x:c r="AM50" s="44"/>
      <x:c r="AN50" s="44"/>
      <x:c r="AO50" s="44"/>
      <x:c r="AP50" s="44"/>
      <x:c r="AQ50" s="44"/>
      <x:c r="AR50" s="44"/>
      <x:c r="AS50" s="44"/>
      <x:c r="AT50" s="44"/>
      <x:c r="AU50" s="44"/>
      <x:c r="AV50" s="44"/>
      <x:c r="AW50" s="44"/>
      <x:c r="AX50" s="44"/>
      <x:c r="AY50" s="44"/>
      <x:c r="A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4"/>
      <x:c r="AL51" s="44"/>
      <x:c r="AM51" s="44"/>
      <x:c r="AN51" s="44"/>
      <x:c r="AO51" s="44"/>
      <x:c r="AP51" s="44"/>
      <x:c r="AQ51" s="44"/>
      <x:c r="AR51" s="44"/>
      <x:c r="AS51" s="44"/>
      <x:c r="AT51" s="44"/>
      <x:c r="AU51" s="44"/>
      <x:c r="AV51" s="44"/>
      <x:c r="AW51" s="44"/>
      <x:c r="AX51" s="44"/>
      <x:c r="AY51" s="44"/>
      <x:c r="A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4"/>
      <x:c r="AL52" s="44"/>
      <x:c r="AM52" s="44"/>
      <x:c r="AN52" s="44"/>
      <x:c r="AO52" s="44"/>
      <x:c r="AP52" s="44"/>
      <x:c r="AQ52" s="44"/>
      <x:c r="AR52" s="44"/>
      <x:c r="AS52" s="44"/>
      <x:c r="AT52" s="44"/>
      <x:c r="AU52" s="44"/>
      <x:c r="AV52" s="44"/>
      <x:c r="AW52" s="44"/>
      <x:c r="AX52" s="44"/>
      <x:c r="AY52" s="44"/>
      <x:c r="A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4"/>
      <x:c r="AL53" s="44"/>
      <x:c r="AM53" s="44"/>
      <x:c r="AN53" s="44"/>
      <x:c r="AO53" s="44"/>
      <x:c r="AP53" s="44"/>
      <x:c r="AQ53" s="44"/>
      <x:c r="AR53" s="44"/>
      <x:c r="AS53" s="44"/>
      <x:c r="AT53" s="44"/>
      <x:c r="AU53" s="44"/>
      <x:c r="AV53" s="44"/>
      <x:c r="AW53" s="44"/>
      <x:c r="AX53" s="44"/>
      <x:c r="AY53" s="44"/>
      <x:c r="A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4"/>
      <x:c r="AL54" s="44"/>
      <x:c r="AM54" s="44"/>
      <x:c r="AN54" s="44"/>
      <x:c r="AO54" s="44"/>
      <x:c r="AP54" s="44"/>
      <x:c r="AQ54" s="44"/>
      <x:c r="AR54" s="44"/>
      <x:c r="AS54" s="44"/>
      <x:c r="AT54" s="44"/>
      <x:c r="AU54" s="44"/>
      <x:c r="AV54" s="44"/>
      <x:c r="AW54" s="44"/>
      <x:c r="AX54" s="44"/>
      <x:c r="AY54" s="44"/>
      <x:c r="A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4"/>
      <x:c r="AL55" s="44"/>
      <x:c r="AM55" s="44"/>
      <x:c r="AN55" s="44"/>
      <x:c r="AO55" s="44"/>
      <x:c r="AP55" s="44"/>
      <x:c r="AQ55" s="44"/>
      <x:c r="AR55" s="44"/>
      <x:c r="AS55" s="44"/>
      <x:c r="AT55" s="44"/>
      <x:c r="AU55" s="44"/>
      <x:c r="AV55" s="44"/>
      <x:c r="AW55" s="44"/>
      <x:c r="AX55" s="44"/>
      <x:c r="AY55" s="44"/>
      <x:c r="A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4"/>
      <x:c r="AL56" s="44"/>
      <x:c r="AM56" s="44"/>
      <x:c r="AN56" s="44"/>
      <x:c r="AO56" s="44"/>
      <x:c r="AP56" s="44"/>
      <x:c r="AQ56" s="44"/>
      <x:c r="AR56" s="44"/>
      <x:c r="AS56" s="44"/>
      <x:c r="AT56" s="44"/>
      <x:c r="AU56" s="44"/>
      <x:c r="AV56" s="44"/>
      <x:c r="AW56" s="44"/>
      <x:c r="AX56" s="44"/>
      <x:c r="AY56" s="44"/>
      <x:c r="A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4"/>
      <x:c r="AL57" s="44"/>
      <x:c r="AM57" s="44"/>
      <x:c r="AN57" s="44"/>
      <x:c r="AO57" s="44"/>
      <x:c r="AP57" s="44"/>
      <x:c r="AQ57" s="44"/>
      <x:c r="AR57" s="44"/>
      <x:c r="AS57" s="44"/>
      <x:c r="AT57" s="44"/>
      <x:c r="AU57" s="44"/>
      <x:c r="AV57" s="44"/>
      <x:c r="AW57" s="44"/>
      <x:c r="AX57" s="44"/>
      <x:c r="AY57" s="44"/>
      <x:c r="A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4"/>
      <x:c r="AL58" s="44"/>
      <x:c r="AM58" s="44"/>
      <x:c r="AN58" s="44"/>
      <x:c r="AO58" s="44"/>
      <x:c r="AP58" s="44"/>
      <x:c r="AQ58" s="44"/>
      <x:c r="AR58" s="44"/>
      <x:c r="AS58" s="44"/>
      <x:c r="AT58" s="44"/>
      <x:c r="AU58" s="44"/>
      <x:c r="AV58" s="44"/>
      <x:c r="AW58" s="44"/>
      <x:c r="AX58" s="44"/>
      <x:c r="AY58" s="44"/>
      <x:c r="A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4"/>
      <x:c r="AL59" s="44"/>
      <x:c r="AM59" s="44"/>
      <x:c r="AN59" s="44"/>
      <x:c r="AO59" s="44"/>
      <x:c r="AP59" s="44"/>
      <x:c r="AQ59" s="44"/>
      <x:c r="AR59" s="44"/>
      <x:c r="AS59" s="44"/>
      <x:c r="AT59" s="44"/>
      <x:c r="AU59" s="44"/>
      <x:c r="AV59" s="44"/>
      <x:c r="AW59" s="44"/>
      <x:c r="AX59" s="44"/>
      <x:c r="AY59" s="44"/>
      <x:c r="A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4"/>
      <x:c r="AL60" s="44"/>
      <x:c r="AM60" s="44"/>
      <x:c r="AN60" s="44"/>
      <x:c r="AO60" s="44"/>
      <x:c r="AP60" s="44"/>
      <x:c r="AQ60" s="44"/>
      <x:c r="AR60" s="44"/>
      <x:c r="AS60" s="44"/>
      <x:c r="AT60" s="44"/>
      <x:c r="AU60" s="44"/>
      <x:c r="AV60" s="44"/>
      <x:c r="AW60" s="44"/>
      <x:c r="AX60" s="44"/>
      <x:c r="AY60" s="44"/>
      <x:c r="A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4"/>
      <x:c r="AL61" s="44"/>
      <x:c r="AM61" s="44"/>
      <x:c r="AN61" s="44"/>
      <x:c r="AO61" s="44"/>
      <x:c r="AP61" s="44"/>
      <x:c r="AQ61" s="44"/>
      <x:c r="AR61" s="44"/>
      <x:c r="AS61" s="44"/>
      <x:c r="AT61" s="44"/>
      <x:c r="AU61" s="44"/>
      <x:c r="AV61" s="44"/>
      <x:c r="AW61" s="44"/>
      <x:c r="AX61" s="44"/>
      <x:c r="AY61" s="44"/>
      <x:c r="A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4"/>
      <x:c r="AL62" s="44"/>
      <x:c r="AM62" s="44"/>
      <x:c r="AN62" s="44"/>
      <x:c r="AO62" s="44"/>
      <x:c r="AP62" s="44"/>
      <x:c r="AQ62" s="44"/>
      <x:c r="AR62" s="44"/>
      <x:c r="AS62" s="44"/>
      <x:c r="AT62" s="44"/>
      <x:c r="AU62" s="44"/>
      <x:c r="AV62" s="44"/>
      <x:c r="AW62" s="44"/>
      <x:c r="AX62" s="44"/>
      <x:c r="AY62" s="44"/>
      <x:c r="A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4"/>
      <x:c r="AL63" s="44"/>
      <x:c r="AM63" s="44"/>
      <x:c r="AN63" s="44"/>
      <x:c r="AO63" s="44"/>
      <x:c r="AP63" s="44"/>
      <x:c r="AQ63" s="44"/>
      <x:c r="AR63" s="44"/>
      <x:c r="AS63" s="44"/>
      <x:c r="AT63" s="44"/>
      <x:c r="AU63" s="44"/>
      <x:c r="AV63" s="44"/>
      <x:c r="AW63" s="44"/>
      <x:c r="AX63" s="44"/>
      <x:c r="AY63" s="44"/>
      <x:c r="A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4"/>
      <x:c r="AL64" s="44"/>
      <x:c r="AM64" s="44"/>
      <x:c r="AN64" s="44"/>
      <x:c r="AO64" s="44"/>
      <x:c r="AP64" s="44"/>
      <x:c r="AQ64" s="44"/>
      <x:c r="AR64" s="44"/>
      <x:c r="AS64" s="44"/>
      <x:c r="AT64" s="44"/>
      <x:c r="AU64" s="44"/>
      <x:c r="AV64" s="44"/>
      <x:c r="AW64" s="44"/>
      <x:c r="AX64" s="44"/>
      <x:c r="AY64" s="44"/>
      <x:c r="A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4"/>
      <x:c r="AL65" s="44"/>
      <x:c r="AM65" s="44"/>
      <x:c r="AN65" s="44"/>
      <x:c r="AO65" s="44"/>
      <x:c r="AP65" s="44"/>
      <x:c r="AQ65" s="44"/>
      <x:c r="AR65" s="44"/>
      <x:c r="AS65" s="44"/>
      <x:c r="AT65" s="44"/>
      <x:c r="AU65" s="44"/>
      <x:c r="AV65" s="44"/>
      <x:c r="AW65" s="44"/>
      <x:c r="AX65" s="44"/>
      <x:c r="AY65" s="44"/>
      <x:c r="A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4"/>
      <x:c r="AL66" s="44"/>
      <x:c r="AM66" s="44"/>
      <x:c r="AN66" s="44"/>
      <x:c r="AO66" s="44"/>
      <x:c r="AP66" s="44"/>
      <x:c r="AQ66" s="44"/>
      <x:c r="AR66" s="44"/>
      <x:c r="AS66" s="44"/>
      <x:c r="AT66" s="44"/>
      <x:c r="AU66" s="44"/>
      <x:c r="AV66" s="44"/>
      <x:c r="AW66" s="44"/>
      <x:c r="AX66" s="44"/>
      <x:c r="AY66" s="44"/>
      <x:c r="A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4"/>
      <x:c r="AL67" s="44"/>
      <x:c r="AM67" s="44"/>
      <x:c r="AN67" s="44"/>
      <x:c r="AO67" s="44"/>
      <x:c r="AP67" s="44"/>
      <x:c r="AQ67" s="44"/>
      <x:c r="AR67" s="44"/>
      <x:c r="AS67" s="44"/>
      <x:c r="AT67" s="44"/>
      <x:c r="AU67" s="44"/>
      <x:c r="AV67" s="44"/>
      <x:c r="AW67" s="44"/>
      <x:c r="AX67" s="44"/>
      <x:c r="AY67" s="44"/>
      <x:c r="A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4"/>
      <x:c r="AL76" s="44"/>
      <x:c r="AM76" s="44"/>
      <x:c r="AN76" s="44"/>
      <x:c r="AO76" s="44"/>
      <x:c r="AP76" s="44"/>
      <x:c r="AQ76" s="44"/>
      <x:c r="AR76" s="44"/>
      <x:c r="AS76" s="44"/>
      <x:c r="AT76" s="44"/>
      <x:c r="AU76" s="44"/>
      <x:c r="AV76" s="44"/>
      <x:c r="AW76" s="44"/>
      <x:c r="AX76" s="44"/>
      <x:c r="AY76" s="44"/>
      <x:c r="A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4"/>
      <x:c r="AL77" s="44"/>
      <x:c r="AM77" s="44"/>
      <x:c r="AN77" s="44"/>
      <x:c r="AO77" s="44"/>
      <x:c r="AP77" s="44"/>
      <x:c r="AQ77" s="44"/>
      <x:c r="AR77" s="44"/>
      <x:c r="AS77" s="44"/>
      <x:c r="AT77" s="44"/>
      <x:c r="AU77" s="44"/>
      <x:c r="AV77" s="44"/>
      <x:c r="AW77" s="44"/>
      <x:c r="AX77" s="44"/>
      <x:c r="AY77" s="44"/>
      <x:c r="A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4"/>
      <x:c r="AL78" s="44"/>
      <x:c r="AM78" s="44"/>
      <x:c r="AN78" s="44"/>
      <x:c r="AO78" s="44"/>
      <x:c r="AP78" s="44"/>
      <x:c r="AQ78" s="44"/>
      <x:c r="AR78" s="44"/>
      <x:c r="AS78" s="44"/>
      <x:c r="AT78" s="44"/>
      <x:c r="AU78" s="44"/>
      <x:c r="AV78" s="44"/>
      <x:c r="AW78" s="44"/>
      <x:c r="AX78" s="44"/>
      <x:c r="AY78" s="44"/>
      <x:c r="A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4"/>
      <x:c r="AL79" s="44"/>
      <x:c r="AM79" s="44"/>
      <x:c r="AN79" s="44"/>
      <x:c r="AO79" s="44"/>
      <x:c r="AP79" s="44"/>
      <x:c r="AQ79" s="44"/>
      <x:c r="AR79" s="44"/>
      <x:c r="AS79" s="44"/>
      <x:c r="AT79" s="44"/>
      <x:c r="AU79" s="44"/>
      <x:c r="AV79" s="44"/>
      <x:c r="AW79" s="44"/>
      <x:c r="AX79" s="44"/>
      <x:c r="AY79" s="44"/>
      <x:c r="A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4"/>
      <x:c r="AL80" s="44"/>
      <x:c r="AM80" s="44"/>
      <x:c r="AN80" s="44"/>
      <x:c r="AO80" s="44"/>
      <x:c r="AP80" s="44"/>
      <x:c r="AQ80" s="44"/>
      <x:c r="AR80" s="44"/>
      <x:c r="AS80" s="44"/>
      <x:c r="AT80" s="44"/>
      <x:c r="AU80" s="44"/>
      <x:c r="AV80" s="44"/>
      <x:c r="AW80" s="44"/>
      <x:c r="AX80" s="44"/>
      <x:c r="AY80" s="44"/>
      <x:c r="A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4"/>
      <x:c r="AL81" s="44"/>
      <x:c r="AM81" s="44"/>
      <x:c r="AN81" s="44"/>
      <x:c r="AO81" s="44"/>
      <x:c r="AP81" s="44"/>
      <x:c r="AQ81" s="44"/>
      <x:c r="AR81" s="44"/>
      <x:c r="AS81" s="44"/>
      <x:c r="AT81" s="44"/>
      <x:c r="AU81" s="44"/>
      <x:c r="AV81" s="44"/>
      <x:c r="AW81" s="44"/>
      <x:c r="AX81" s="44"/>
      <x:c r="AY81" s="44"/>
      <x:c r="A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4"/>
      <x:c r="AL82" s="44"/>
      <x:c r="AM82" s="44"/>
      <x:c r="AN82" s="44"/>
      <x:c r="AO82" s="44"/>
      <x:c r="AP82" s="44"/>
      <x:c r="AQ82" s="44"/>
      <x:c r="AR82" s="44"/>
      <x:c r="AS82" s="44"/>
      <x:c r="AT82" s="44"/>
      <x:c r="AU82" s="44"/>
      <x:c r="AV82" s="44"/>
      <x:c r="AW82" s="44"/>
      <x:c r="AX82" s="44"/>
      <x:c r="AY82" s="44"/>
      <x:c r="A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4"/>
      <x:c r="AL83" s="44"/>
      <x:c r="AM83" s="44"/>
      <x:c r="AN83" s="44"/>
      <x:c r="AO83" s="44"/>
      <x:c r="AP83" s="44"/>
      <x:c r="AQ83" s="44"/>
      <x:c r="AR83" s="44"/>
      <x:c r="AS83" s="44"/>
      <x:c r="AT83" s="44"/>
      <x:c r="AU83" s="44"/>
      <x:c r="AV83" s="44"/>
      <x:c r="AW83" s="44"/>
      <x:c r="AX83" s="44"/>
      <x:c r="AY83" s="44"/>
      <x:c r="A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4"/>
      <x:c r="AL84" s="44"/>
      <x:c r="AM84" s="44"/>
      <x:c r="AN84" s="44"/>
      <x:c r="AO84" s="44"/>
      <x:c r="AP84" s="44"/>
      <x:c r="AQ84" s="44"/>
      <x:c r="AR84" s="44"/>
      <x:c r="AS84" s="44"/>
      <x:c r="AT84" s="44"/>
      <x:c r="AU84" s="44"/>
      <x:c r="AV84" s="44"/>
      <x:c r="AW84" s="44"/>
      <x:c r="AX84" s="44"/>
      <x:c r="AY84" s="44"/>
      <x:c r="A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4"/>
      <x:c r="AL85" s="44"/>
      <x:c r="AM85" s="44"/>
      <x:c r="AN85" s="44"/>
      <x:c r="AO85" s="44"/>
      <x:c r="AP85" s="44"/>
      <x:c r="AQ85" s="44"/>
      <x:c r="AR85" s="44"/>
      <x:c r="AS85" s="44"/>
      <x:c r="AT85" s="44"/>
      <x:c r="AU85" s="44"/>
      <x:c r="AV85" s="44"/>
      <x:c r="AW85" s="44"/>
      <x:c r="AX85" s="44"/>
      <x:c r="AY85" s="44"/>
      <x:c r="A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4"/>
      <x:c r="AL86" s="44"/>
      <x:c r="AM86" s="44"/>
      <x:c r="AN86" s="44"/>
      <x:c r="AO86" s="44"/>
      <x:c r="AP86" s="44"/>
      <x:c r="AQ86" s="44"/>
      <x:c r="AR86" s="44"/>
      <x:c r="AS86" s="44"/>
      <x:c r="AT86" s="44"/>
      <x:c r="AU86" s="44"/>
      <x:c r="AV86" s="44"/>
      <x:c r="AW86" s="44"/>
      <x:c r="AX86" s="44"/>
      <x:c r="AY86" s="44"/>
      <x:c r="A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4"/>
      <x:c r="AL87" s="44"/>
      <x:c r="AM87" s="44"/>
      <x:c r="AN87" s="44"/>
      <x:c r="AO87" s="44"/>
      <x:c r="AP87" s="44"/>
      <x:c r="AQ87" s="44"/>
      <x:c r="AR87" s="44"/>
      <x:c r="AS87" s="44"/>
      <x:c r="AT87" s="44"/>
      <x:c r="AU87" s="44"/>
      <x:c r="AV87" s="44"/>
      <x:c r="AW87" s="44"/>
      <x:c r="AX87" s="44"/>
      <x:c r="AY87" s="44"/>
      <x:c r="A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4"/>
      <x:c r="AL88" s="44"/>
      <x:c r="AM88" s="44"/>
      <x:c r="AN88" s="44"/>
      <x:c r="AO88" s="44"/>
      <x:c r="AP88" s="44"/>
      <x:c r="AQ88" s="44"/>
      <x:c r="AR88" s="44"/>
      <x:c r="AS88" s="44"/>
      <x:c r="AT88" s="44"/>
      <x:c r="AU88" s="44"/>
      <x:c r="AV88" s="44"/>
      <x:c r="AW88" s="44"/>
      <x:c r="AX88" s="44"/>
      <x:c r="AY88" s="44"/>
      <x:c r="A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4"/>
      <x:c r="AL89" s="44"/>
      <x:c r="AM89" s="44"/>
      <x:c r="AN89" s="44"/>
      <x:c r="AO89" s="44"/>
      <x:c r="AP89" s="44"/>
      <x:c r="AQ89" s="44"/>
      <x:c r="AR89" s="44"/>
      <x:c r="AS89" s="44"/>
      <x:c r="AT89" s="44"/>
      <x:c r="AU89" s="44"/>
      <x:c r="AV89" s="44"/>
      <x:c r="AW89" s="44"/>
      <x:c r="AX89" s="44"/>
      <x:c r="AY89" s="44"/>
      <x:c r="A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4"/>
      <x:c r="AL90" s="44"/>
      <x:c r="AM90" s="44"/>
      <x:c r="AN90" s="44"/>
      <x:c r="AO90" s="44"/>
      <x:c r="AP90" s="44"/>
      <x:c r="AQ90" s="44"/>
      <x:c r="AR90" s="44"/>
      <x:c r="AS90" s="44"/>
      <x:c r="AT90" s="44"/>
      <x:c r="AU90" s="44"/>
      <x:c r="AV90" s="44"/>
      <x:c r="AW90" s="44"/>
      <x:c r="AX90" s="44"/>
      <x:c r="AY90" s="44"/>
      <x:c r="A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4"/>
      <x:c r="AL91" s="44"/>
      <x:c r="AM91" s="44"/>
      <x:c r="AN91" s="44"/>
      <x:c r="AO91" s="44"/>
      <x:c r="AP91" s="44"/>
      <x:c r="AQ91" s="44"/>
      <x:c r="AR91" s="44"/>
      <x:c r="AS91" s="44"/>
      <x:c r="AT91" s="44"/>
      <x:c r="AU91" s="44"/>
      <x:c r="AV91" s="44"/>
      <x:c r="AW91" s="44"/>
      <x:c r="AX91" s="44"/>
      <x:c r="AY91" s="44"/>
      <x:c r="A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4"/>
      <x:c r="AL92" s="44"/>
      <x:c r="AM92" s="44"/>
      <x:c r="AN92" s="44"/>
      <x:c r="AO92" s="44"/>
      <x:c r="AP92" s="44"/>
      <x:c r="AQ92" s="44"/>
      <x:c r="AR92" s="44"/>
      <x:c r="AS92" s="44"/>
      <x:c r="AT92" s="44"/>
      <x:c r="AU92" s="44"/>
      <x:c r="AV92" s="44"/>
      <x:c r="AW92" s="44"/>
      <x:c r="AX92" s="44"/>
      <x:c r="AY92" s="44"/>
      <x:c r="A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4"/>
      <x:c r="AL93" s="44"/>
      <x:c r="AM93" s="44"/>
      <x:c r="AN93" s="44"/>
      <x:c r="AO93" s="44"/>
      <x:c r="AP93" s="44"/>
      <x:c r="AQ93" s="44"/>
      <x:c r="AR93" s="44"/>
      <x:c r="AS93" s="44"/>
      <x:c r="AT93" s="44"/>
      <x:c r="AU93" s="44"/>
      <x:c r="AV93" s="44"/>
      <x:c r="AW93" s="44"/>
      <x:c r="AX93" s="44"/>
      <x:c r="AY93" s="44"/>
      <x:c r="A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4"/>
      <x:c r="AL94" s="44"/>
      <x:c r="AM94" s="44"/>
      <x:c r="AN94" s="44"/>
      <x:c r="AO94" s="44"/>
      <x:c r="AP94" s="44"/>
      <x:c r="AQ94" s="44"/>
      <x:c r="AR94" s="44"/>
      <x:c r="AS94" s="44"/>
      <x:c r="AT94" s="44"/>
      <x:c r="AU94" s="44"/>
      <x:c r="AV94" s="44"/>
      <x:c r="AW94" s="44"/>
      <x:c r="AX94" s="44"/>
      <x:c r="AY94" s="44"/>
      <x:c r="A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4"/>
      <x:c r="AL96" s="44"/>
      <x:c r="AM96" s="44"/>
      <x:c r="AN96" s="44"/>
      <x:c r="AO96" s="44"/>
      <x:c r="AP96" s="44"/>
      <x:c r="AQ96" s="44"/>
      <x:c r="AR96" s="44"/>
      <x:c r="AS96" s="44"/>
      <x:c r="AT96" s="44"/>
      <x:c r="AU96" s="44"/>
      <x:c r="AV96" s="44"/>
      <x:c r="AW96" s="44"/>
      <x:c r="AX96" s="44"/>
      <x:c r="AY96" s="44"/>
      <x:c r="A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4"/>
      <x:c r="AL97" s="44"/>
      <x:c r="AM97" s="44"/>
      <x:c r="AN97" s="44"/>
      <x:c r="AO97" s="44"/>
      <x:c r="AP97" s="44"/>
      <x:c r="AQ97" s="44"/>
      <x:c r="AR97" s="44"/>
      <x:c r="AS97" s="44"/>
      <x:c r="AT97" s="44"/>
      <x:c r="AU97" s="44"/>
      <x:c r="AV97" s="44"/>
      <x:c r="AW97" s="44"/>
      <x:c r="AX97" s="44"/>
      <x:c r="AY97" s="44"/>
      <x:c r="A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4"/>
      <x:c r="AL98" s="44"/>
      <x:c r="AM98" s="44"/>
      <x:c r="AN98" s="44"/>
      <x:c r="AO98" s="44"/>
      <x:c r="AP98" s="44"/>
      <x:c r="AQ98" s="44"/>
      <x:c r="AR98" s="44"/>
      <x:c r="AS98" s="44"/>
      <x:c r="AT98" s="44"/>
      <x:c r="AU98" s="44"/>
      <x:c r="AV98" s="44"/>
      <x:c r="AW98" s="44"/>
      <x:c r="AX98" s="44"/>
      <x:c r="AY98" s="44"/>
      <x:c r="A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4"/>
      <x:c r="AL99" s="44"/>
      <x:c r="AM99" s="44"/>
      <x:c r="AN99" s="44"/>
      <x:c r="AO99" s="44"/>
      <x:c r="AP99" s="44"/>
      <x:c r="AQ99" s="44"/>
      <x:c r="AR99" s="44"/>
      <x:c r="AS99" s="44"/>
      <x:c r="AT99" s="44"/>
      <x:c r="AU99" s="44"/>
      <x:c r="AV99" s="44"/>
      <x:c r="AW99" s="44"/>
      <x:c r="AX99" s="44"/>
      <x:c r="AY99" s="44"/>
      <x:c r="A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4"/>
      <x:c r="AL100" s="44"/>
      <x:c r="AM100" s="44"/>
      <x:c r="AN100" s="44"/>
      <x:c r="AO100" s="44"/>
      <x:c r="AP100" s="44"/>
      <x:c r="AQ100" s="44"/>
      <x:c r="AR100" s="44"/>
      <x:c r="AS100" s="44"/>
      <x:c r="AT100" s="44"/>
      <x:c r="AU100" s="44"/>
      <x:c r="AV100" s="44"/>
      <x:c r="AW100" s="44"/>
      <x:c r="AX100" s="44"/>
      <x:c r="AY100" s="44"/>
      <x:c r="AZ100" s="44"/>
    </x:row>
  </x:sheetData>
  <x:pageMargins left="0.7" right="0.7" top="0.75" bottom="0.75" header="0.3" footer="0.3"/>
  <x:tableParts count="1">
    <x:tablePart xmlns:r="http://schemas.openxmlformats.org/officeDocument/2006/relationships" r:id="R9e367d0c77c8406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22" t="str">
        <x:v>case_id</x:v>
      </x:c>
      <x:c r="B1" s="22" t="str">
        <x:v>% Temperature (degC)</x:v>
      </x:c>
      <x:c r="C1" s="22" t="str">
        <x:v>x (mm)</x:v>
      </x:c>
      <x:c r="D1" s="22" t="str">
        <x:v>y (mm)</x:v>
      </x:c>
      <x:c r="E1" s="22" t="str">
        <x:v>z (mm)</x:v>
      </x:c>
      <x:c r="F1" s="22" t="str">
        <x:v>Temperature (degC)</x:v>
      </x:c>
      <x:c r="G1" s="22" t="str">
        <x:v>Velocity magnitude (m/s)</x:v>
      </x:c>
      <x:c r="H1" s="22" t="str">
        <x:v>system thermal resistance (K/W)</x:v>
      </x:c>
      <x:c r="I1" s="22" t="str">
        <x:v>Outlet Integration (m^2)</x:v>
      </x:c>
      <x:c r="J1" s="22" t="str">
        <x:v>Outlet Integration (m^3/s)</x:v>
      </x:c>
      <x:c r="K1" s="22" t="str">
        <x:v>flow-weighted outlet temperature (degC)</x:v>
      </x:c>
      <x:c r="L1" s="22" t="str">
        <x:v>mass weitghted (degC)</x:v>
      </x:c>
      <x:c r="M1" s="22" t="str">
        <x:v>area average inlet pressure (N/m^2)</x:v>
      </x:c>
      <x:c r="N1" s="22" t="str">
        <x:v>area average outlet pressure (N/m^2)</x:v>
      </x:c>
      <x:c r="O1" s="22" t="str">
        <x:v>pumping power (W)</x:v>
      </x:c>
      <x:c r="P1" s="22" t="str">
        <x:v>pressure drop (N/m^2)</x:v>
      </x:c>
      <x:c r="Q1" s="22" t="str">
        <x:v>Qin (m^3/s)</x:v>
      </x:c>
      <x:c r="R1" s="44"/>
      <x:c r="S1" s="44"/>
      <x:c r="T1" s="44"/>
      <x:c r="U1" s="44"/>
      <x:c r="V1" s="44"/>
      <x:c r="W1" s="44"/>
      <x:c r="X1" s="44"/>
      <x:c r="Y1" s="44"/>
      <x:c r="Z1" s="44"/>
      <x:c r="AA1" s="44"/>
      <x:c r="AB1" s="44"/>
      <x:c r="AC1" s="44"/>
      <x:c r="AD1" s="44"/>
      <x:c r="AE1" s="44"/>
      <x:c r="AF1" s="44"/>
      <x:c r="AG1" s="44"/>
      <x:c r="AH1" s="44"/>
      <x:c r="AI1" s="44"/>
      <x:c r="AJ1" s="44"/>
      <x:c r="AK1" s="44"/>
      <x:c r="AL1" s="44"/>
      <x:c r="AM1" s="44"/>
      <x:c r="AN1" s="44"/>
      <x:c r="AO1" s="44"/>
      <x:c r="AP1" s="44"/>
      <x:c r="AQ1" s="44"/>
      <x:c r="AR1" s="44"/>
      <x:c r="AS1" s="44"/>
      <x:c r="AT1" s="44"/>
      <x:c r="AU1" s="44"/>
      <x:c r="AV1" s="44"/>
      <x:c r="AW1" s="44"/>
      <x:c r="AX1" s="44"/>
      <x:c r="AY1" s="44"/>
      <x:c r="AZ1" s="44"/>
    </x:row>
    <x:row r="2">
      <x:c r="A2" s="47" t="str">
        <x:v>V1</x:v>
      </x:c>
      <x:c r="B2" s="47" t="n">
        <x:v>130.45469173984378</x:v>
      </x:c>
      <x:c r="C2" s="47" t="n">
        <x:v>16.772449498286143</x:v>
      </x:c>
      <x:c r="D2" s="47" t="n">
        <x:v>15.024806031502903</x:v>
      </x:c>
      <x:c r="E2" s="47" t="n">
        <x:v>4.640000000000001</x:v>
      </x:c>
      <x:c r="F2" s="47" t="n">
        <x:v>130.45469173984378</x:v>
      </x:c>
      <x:c r="G2" s="47" t="n">
        <x:v>0.9384372294746567</x:v>
      </x:c>
      <x:c r="H2" s="47" t="n">
        <x:v>1.0545469173984379</x:v>
      </x:c>
      <x:c r="I2" s="47" t="n">
        <x:v>0.000002100000000000006</x:v>
      </x:c>
      <x:c r="J2" s="47" t="n">
        <x:v>0.0000020072107382003472</x:v>
      </x:c>
      <x:c r="K2" s="47" t="n">
        <x:v>36.96451305218068</x:v>
      </x:c>
      <x:c r="L2" s="47" t="n">
        <x:v>36.95741349583773</x:v>
      </x:c>
      <x:c r="M2" s="47" t="n">
        <x:v>3721.295560794876</x:v>
      </x:c>
      <x:c r="N2" s="47" t="n">
        <x:v>13.67896745150474</x:v>
      </x:c>
      <x:c r="O2" s="47" t="n">
        <x:v>0.007415233186686742</x:v>
      </x:c>
      <x:c r="P2" s="47" t="n">
        <x:v>3707.6165933433713</x:v>
      </x:c>
      <x:c r="Q2" s="47" t="n">
        <x:v>0.0000019999966270673002</x:v>
      </x:c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</x:row>
    <x:row r="3">
      <x:c r="A3" s="47" t="str">
        <x:v>V2</x:v>
      </x:c>
      <x:c r="B3" s="47" t="n">
        <x:v>78.83079426542457</x:v>
      </x:c>
      <x:c r="C3" s="47" t="n">
        <x:v>16.266823341150936</x:v>
      </x:c>
      <x:c r="D3" s="47" t="n">
        <x:v>15.327599538073022</x:v>
      </x:c>
      <x:c r="E3" s="47" t="n">
        <x:v>4.6000000000000005</x:v>
      </x:c>
      <x:c r="F3" s="47" t="n">
        <x:v>78.83079426542457</x:v>
      </x:c>
      <x:c r="G3" s="47" t="n">
        <x:v>1.4104133967739498</x:v>
      </x:c>
      <x:c r="H3" s="47" t="n">
        <x:v>0.5383079426542458</x:v>
      </x:c>
      <x:c r="I3" s="47" t="n">
        <x:v>0.0000021000000000000057</x:v>
      </x:c>
      <x:c r="J3" s="47" t="n">
        <x:v>0.0000030068727466951925</x:v>
      </x:c>
      <x:c r="K3" s="47" t="n">
        <x:v>32.96749026000134</x:v>
      </x:c>
      <x:c r="L3" s="47" t="n">
        <x:v>32.961544734971085</x:v>
      </x:c>
      <x:c r="M3" s="47" t="n">
        <x:v>6071.446965956439</x:v>
      </x:c>
      <x:c r="N3" s="47" t="n">
        <x:v>27.05276439213855</x:v>
      </x:c>
      <x:c r="O3" s="47" t="n">
        <x:v>0.0181331826046929</x:v>
      </x:c>
      <x:c r="P3" s="47" t="n">
        <x:v>6044.394201564301</x:v>
      </x:c>
      <x:c r="Q3" s="47" t="n">
        <x:v>0.0000029999980835872695</x:v>
      </x:c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</x:row>
    <x:row r="4">
      <x:c r="A4" s="47" t="str">
        <x:v>V3</x:v>
      </x:c>
      <x:c r="B4" s="47" t="n">
        <x:v>78.03722515170631</x:v>
      </x:c>
      <x:c r="C4" s="47" t="n">
        <x:v>16.772449498286143</x:v>
      </x:c>
      <x:c r="D4" s="47" t="n">
        <x:v>15.024806031502903</x:v>
      </x:c>
      <x:c r="E4" s="47" t="n">
        <x:v>4.590000000000001</x:v>
      </x:c>
      <x:c r="F4" s="47" t="n">
        <x:v>78.03722515170631</x:v>
      </x:c>
      <x:c r="G4" s="47" t="n">
        <x:v>1.8044326236859511</x:v>
      </x:c>
      <x:c r="H4" s="47" t="n">
        <x:v>0.5303722515170631</x:v>
      </x:c>
      <x:c r="I4" s="47" t="n">
        <x:v>0.0000021000000000000057</x:v>
      </x:c>
      <x:c r="J4" s="47" t="n">
        <x:v>0.000003840053167773212</x:v>
      </x:c>
      <x:c r="K4" s="47" t="n">
        <x:v>31.228109529607593</x:v>
      </x:c>
      <x:c r="L4" s="47" t="n">
        <x:v>31.222925339564654</x:v>
      </x:c>
      <x:c r="M4" s="47" t="n">
        <x:v>8104.656512842696</x:v>
      </x:c>
      <x:c r="N4" s="47" t="n">
        <x:v>38.21741295414429</x:v>
      </x:c>
      <x:c r="O4" s="47" t="n">
        <x:v>0.030921349882906117</x:v>
      </x:c>
      <x:c r="P4" s="47" t="n">
        <x:v>8066.439099888552</x:v>
      </x:c>
      <x:c r="Q4" s="47" t="n">
        <x:v>0.000003833332474646833</x:v>
      </x:c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K4" s="44"/>
      <x:c r="AL4" s="44"/>
      <x:c r="AM4" s="44"/>
      <x:c r="AN4" s="44"/>
      <x:c r="AO4" s="44"/>
      <x:c r="AP4" s="44"/>
      <x:c r="AQ4" s="44"/>
      <x:c r="AR4" s="44"/>
      <x:c r="AS4" s="44"/>
      <x:c r="AT4" s="44"/>
      <x:c r="AU4" s="44"/>
      <x:c r="AV4" s="44"/>
      <x:c r="AW4" s="44"/>
      <x:c r="AX4" s="44"/>
      <x:c r="AY4" s="44"/>
      <x:c r="AZ4" s="44"/>
    </x:row>
    <x:row r="5">
      <x:c r="A5" s="47" t="str">
        <x:v>V4</x:v>
      </x:c>
      <x:c r="B5" s="47" t="n">
        <x:v>65.1100601860901</x:v>
      </x:c>
      <x:c r="C5" s="47" t="n">
        <x:v>16.466241238235103</x:v>
      </x:c>
      <x:c r="D5" s="47" t="n">
        <x:v>15.265139914408289</x:v>
      </x:c>
      <x:c r="E5" s="47" t="n">
        <x:v>4.5600000000000005</x:v>
      </x:c>
      <x:c r="F5" s="47" t="n">
        <x:v>65.1100601860901</x:v>
      </x:c>
      <x:c r="G5" s="47" t="n">
        <x:v>2.1200498107445287</x:v>
      </x:c>
      <x:c r="H5" s="47" t="n">
        <x:v>0.40110060186090096</x:v>
      </x:c>
      <x:c r="I5" s="47" t="n">
        <x:v>0.0000021000000000000057</x:v>
      </x:c>
      <x:c r="J5" s="47" t="n">
        <x:v>0.000004506601302319145</x:v>
      </x:c>
      <x:c r="K5" s="47" t="n">
        <x:v>30.29879499454745</x:v>
      </x:c>
      <x:c r="L5" s="47" t="n">
        <x:v>30.294307071215655</x:v>
      </x:c>
      <x:c r="M5" s="47" t="n">
        <x:v>9754.879420810867</x:v>
      </x:c>
      <x:c r="N5" s="47" t="n">
        <x:v>48.473689255694445</x:v>
      </x:c>
      <x:c r="O5" s="47" t="n">
        <x:v>0.04367882579199828</x:v>
      </x:c>
      <x:c r="P5" s="47" t="n">
        <x:v>9706.405731555173</x:v>
      </x:c>
      <x:c r="Q5" s="47" t="n">
        <x:v>0.000004499999679473752</x:v>
      </x:c>
      <x:c r="R5" s="44"/>
      <x:c r="S5" s="44"/>
      <x:c r="T5" s="44"/>
      <x:c r="U5" s="44"/>
      <x:c r="V5" s="44"/>
      <x:c r="W5" s="44"/>
      <x:c r="X5" s="44"/>
      <x:c r="Y5" s="44"/>
      <x:c r="Z5" s="44"/>
      <x:c r="AA5" s="44"/>
      <x:c r="AB5" s="44"/>
      <x:c r="AC5" s="44"/>
      <x:c r="AD5" s="44"/>
      <x:c r="AE5" s="44"/>
      <x:c r="AF5" s="44"/>
      <x:c r="AG5" s="44"/>
      <x:c r="AH5" s="44"/>
      <x:c r="AI5" s="44"/>
      <x:c r="AJ5" s="44"/>
      <x:c r="AK5" s="44"/>
      <x:c r="AL5" s="44"/>
      <x:c r="AM5" s="44"/>
      <x:c r="AN5" s="44"/>
      <x:c r="AO5" s="44"/>
      <x:c r="AP5" s="44"/>
      <x:c r="AQ5" s="44"/>
      <x:c r="AR5" s="44"/>
      <x:c r="AS5" s="44"/>
      <x:c r="AT5" s="44"/>
      <x:c r="AU5" s="44"/>
      <x:c r="AV5" s="44"/>
      <x:c r="AW5" s="44"/>
      <x:c r="AX5" s="44"/>
      <x:c r="AY5" s="44"/>
      <x:c r="AZ5" s="44"/>
    </x:row>
    <x:row r="6">
      <x:c r="A6" s="47" t="str">
        <x:v>V5</x:v>
      </x:c>
      <x:c r="B6" s="47" t="n">
        <x:v>104.27917052237643</x:v>
      </x:c>
      <x:c r="C6" s="47" t="n">
        <x:v>16.772449498286132</x:v>
      </x:c>
      <x:c r="D6" s="47" t="n">
        <x:v>15.0248060315029</x:v>
      </x:c>
      <x:c r="E6" s="47" t="n">
        <x:v>4.63</x:v>
      </x:c>
      <x:c r="F6" s="47" t="n">
        <x:v>104.27917052237643</x:v>
      </x:c>
      <x:c r="G6" s="47" t="n">
        <x:v>2.1990308387688646</x:v>
      </x:c>
      <x:c r="H6" s="47" t="n">
        <x:v>0.7927917052237643</x:v>
      </x:c>
      <x:c r="I6" s="47" t="n">
        <x:v>0.0000021000000000000053</x:v>
      </x:c>
      <x:c r="J6" s="47" t="n">
        <x:v>0.000004673212786437685</x:v>
      </x:c>
      <x:c r="K6" s="47" t="n">
        <x:v>30.10868727384593</x:v>
      </x:c>
      <x:c r="L6" s="47" t="n">
        <x:v>30.104301039309064</x:v>
      </x:c>
      <x:c r="M6" s="47" t="n">
        <x:v>10164.404198757275</x:v>
      </x:c>
      <x:c r="N6" s="47" t="n">
        <x:v>51.02078446072945</x:v>
      </x:c>
      <x:c r="O6" s="47" t="n">
        <x:v>0.04719578926671721</x:v>
      </x:c>
      <x:c r="P6" s="47" t="n">
        <x:v>10113.383414296544</x:v>
      </x:c>
      <x:c r="Q6" s="47" t="n">
        <x:v>0.000004666665162224269</x:v>
      </x:c>
      <x:c r="R6" s="44"/>
      <x:c r="S6" s="44"/>
      <x:c r="T6" s="44"/>
      <x:c r="U6" s="44"/>
      <x:c r="V6" s="44"/>
      <x:c r="W6" s="44"/>
      <x:c r="X6" s="44"/>
      <x:c r="Y6" s="44"/>
      <x:c r="Z6" s="44"/>
      <x:c r="AA6" s="44"/>
      <x:c r="AB6" s="44"/>
      <x:c r="AC6" s="44"/>
      <x:c r="AD6" s="44"/>
      <x:c r="AE6" s="44"/>
      <x:c r="AF6" s="44"/>
      <x:c r="AG6" s="44"/>
      <x:c r="AH6" s="44"/>
      <x:c r="AI6" s="44"/>
      <x:c r="AJ6" s="44"/>
      <x:c r="AK6" s="44"/>
      <x:c r="AL6" s="44"/>
      <x:c r="AM6" s="44"/>
      <x:c r="AN6" s="44"/>
      <x:c r="AO6" s="44"/>
      <x:c r="AP6" s="44"/>
      <x:c r="AQ6" s="44"/>
      <x:c r="AR6" s="44"/>
      <x:c r="AS6" s="44"/>
      <x:c r="AT6" s="44"/>
      <x:c r="AU6" s="44"/>
      <x:c r="AV6" s="44"/>
      <x:c r="AW6" s="44"/>
      <x:c r="AX6" s="44"/>
      <x:c r="AY6" s="44"/>
      <x:c r="AZ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  <x:c r="AH7" s="44"/>
      <x:c r="AI7" s="44"/>
      <x:c r="AJ7" s="44"/>
      <x:c r="AK7" s="44"/>
      <x:c r="AL7" s="44"/>
      <x:c r="AM7" s="44"/>
      <x:c r="AN7" s="44"/>
      <x:c r="AO7" s="44"/>
      <x:c r="AP7" s="44"/>
      <x:c r="AQ7" s="44"/>
      <x:c r="AR7" s="44"/>
      <x:c r="AS7" s="44"/>
      <x:c r="AT7" s="44"/>
      <x:c r="AU7" s="44"/>
      <x:c r="AV7" s="44"/>
      <x:c r="AW7" s="44"/>
      <x:c r="AX7" s="44"/>
      <x:c r="AY7" s="44"/>
      <x:c r="AZ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  <x:c r="AA8" s="44"/>
      <x:c r="AB8" s="44"/>
      <x:c r="AC8" s="44"/>
      <x:c r="AD8" s="44"/>
      <x:c r="AE8" s="44"/>
      <x:c r="AF8" s="44"/>
      <x:c r="AG8" s="44"/>
      <x:c r="AH8" s="44"/>
      <x:c r="AI8" s="44"/>
      <x:c r="AJ8" s="44"/>
      <x:c r="AK8" s="44"/>
      <x:c r="AL8" s="44"/>
      <x:c r="AM8" s="44"/>
      <x:c r="AN8" s="44"/>
      <x:c r="AO8" s="44"/>
      <x:c r="AP8" s="44"/>
      <x:c r="AQ8" s="44"/>
      <x:c r="AR8" s="44"/>
      <x:c r="AS8" s="44"/>
      <x:c r="AT8" s="44"/>
      <x:c r="AU8" s="44"/>
      <x:c r="AV8" s="44"/>
      <x:c r="AW8" s="44"/>
      <x:c r="AX8" s="44"/>
      <x:c r="AY8" s="44"/>
      <x:c r="A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  <x:c r="AA9" s="44"/>
      <x:c r="AB9" s="44"/>
      <x:c r="AC9" s="44"/>
      <x:c r="AD9" s="44"/>
      <x:c r="AE9" s="44"/>
      <x:c r="AF9" s="44"/>
      <x:c r="AG9" s="44"/>
      <x:c r="AH9" s="44"/>
      <x:c r="AI9" s="44"/>
      <x:c r="AJ9" s="44"/>
      <x:c r="AK9" s="44"/>
      <x:c r="AL9" s="44"/>
      <x:c r="AM9" s="44"/>
      <x:c r="AN9" s="44"/>
      <x:c r="AO9" s="44"/>
      <x:c r="AP9" s="44"/>
      <x:c r="AQ9" s="44"/>
      <x:c r="AR9" s="44"/>
      <x:c r="AS9" s="44"/>
      <x:c r="AT9" s="44"/>
      <x:c r="AU9" s="44"/>
      <x:c r="AV9" s="44"/>
      <x:c r="AW9" s="44"/>
      <x:c r="AX9" s="44"/>
      <x:c r="AY9" s="44"/>
      <x:c r="A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4"/>
      <x:c r="AL10" s="44"/>
      <x:c r="AM10" s="44"/>
      <x:c r="AN10" s="44"/>
      <x:c r="AO10" s="44"/>
      <x:c r="AP10" s="44"/>
      <x:c r="AQ10" s="44"/>
      <x:c r="AR10" s="44"/>
      <x:c r="AS10" s="44"/>
      <x:c r="AT10" s="44"/>
      <x:c r="AU10" s="44"/>
      <x:c r="AV10" s="44"/>
      <x:c r="AW10" s="44"/>
      <x:c r="AX10" s="44"/>
      <x:c r="AY10" s="44"/>
      <x:c r="A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4"/>
      <x:c r="AL11" s="44"/>
      <x:c r="AM11" s="44"/>
      <x:c r="AN11" s="44"/>
      <x:c r="AO11" s="44"/>
      <x:c r="AP11" s="44"/>
      <x:c r="AQ11" s="44"/>
      <x:c r="AR11" s="44"/>
      <x:c r="AS11" s="44"/>
      <x:c r="AT11" s="44"/>
      <x:c r="AU11" s="44"/>
      <x:c r="AV11" s="44"/>
      <x:c r="AW11" s="44"/>
      <x:c r="AX11" s="44"/>
      <x:c r="AY11" s="44"/>
      <x:c r="A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4"/>
      <x:c r="AL12" s="44"/>
      <x:c r="AM12" s="44"/>
      <x:c r="AN12" s="44"/>
      <x:c r="AO12" s="44"/>
      <x:c r="AP12" s="44"/>
      <x:c r="AQ12" s="44"/>
      <x:c r="AR12" s="44"/>
      <x:c r="AS12" s="44"/>
      <x:c r="AT12" s="44"/>
      <x:c r="AU12" s="44"/>
      <x:c r="AV12" s="44"/>
      <x:c r="AW12" s="44"/>
      <x:c r="AX12" s="44"/>
      <x:c r="AY12" s="44"/>
      <x:c r="A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  <x:c r="AR13" s="44"/>
      <x:c r="AS13" s="44"/>
      <x:c r="AT13" s="44"/>
      <x:c r="AU13" s="44"/>
      <x:c r="AV13" s="44"/>
      <x:c r="AW13" s="44"/>
      <x:c r="AX13" s="44"/>
      <x:c r="AY13" s="44"/>
      <x:c r="A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4"/>
      <x:c r="AL14" s="44"/>
      <x:c r="AM14" s="44"/>
      <x:c r="AN14" s="44"/>
      <x:c r="AO14" s="44"/>
      <x:c r="AP14" s="44"/>
      <x:c r="AQ14" s="44"/>
      <x:c r="AR14" s="44"/>
      <x:c r="AS14" s="44"/>
      <x:c r="AT14" s="44"/>
      <x:c r="AU14" s="44"/>
      <x:c r="AV14" s="44"/>
      <x:c r="AW14" s="44"/>
      <x:c r="AX14" s="44"/>
      <x:c r="AY14" s="44"/>
      <x:c r="A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4"/>
      <x:c r="AL15" s="44"/>
      <x:c r="AM15" s="44"/>
      <x:c r="AN15" s="44"/>
      <x:c r="AO15" s="44"/>
      <x:c r="AP15" s="44"/>
      <x:c r="AQ15" s="44"/>
      <x:c r="AR15" s="44"/>
      <x:c r="AS15" s="44"/>
      <x:c r="AT15" s="44"/>
      <x:c r="AU15" s="44"/>
      <x:c r="AV15" s="44"/>
      <x:c r="AW15" s="44"/>
      <x:c r="AX15" s="44"/>
      <x:c r="AY15" s="44"/>
      <x:c r="A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4"/>
      <x:c r="AL16" s="44"/>
      <x:c r="AM16" s="44"/>
      <x:c r="AN16" s="44"/>
      <x:c r="AO16" s="44"/>
      <x:c r="AP16" s="44"/>
      <x:c r="AQ16" s="44"/>
      <x:c r="AR16" s="44"/>
      <x:c r="AS16" s="44"/>
      <x:c r="AT16" s="44"/>
      <x:c r="AU16" s="44"/>
      <x:c r="AV16" s="44"/>
      <x:c r="AW16" s="44"/>
      <x:c r="AX16" s="44"/>
      <x:c r="AY16" s="44"/>
      <x:c r="A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/>
      <x:c r="AN17" s="44"/>
      <x:c r="AO17" s="44"/>
      <x:c r="AP17" s="44"/>
      <x:c r="AQ17" s="44"/>
      <x:c r="AR17" s="44"/>
      <x:c r="AS17" s="44"/>
      <x:c r="AT17" s="44"/>
      <x:c r="AU17" s="44"/>
      <x:c r="AV17" s="44"/>
      <x:c r="AW17" s="44"/>
      <x:c r="AX17" s="44"/>
      <x:c r="AY17" s="44"/>
      <x:c r="A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4"/>
      <x:c r="AL18" s="44"/>
      <x:c r="AM18" s="44"/>
      <x:c r="AN18" s="44"/>
      <x:c r="AO18" s="44"/>
      <x:c r="AP18" s="44"/>
      <x:c r="AQ18" s="44"/>
      <x:c r="AR18" s="44"/>
      <x:c r="AS18" s="44"/>
      <x:c r="AT18" s="44"/>
      <x:c r="AU18" s="44"/>
      <x:c r="AV18" s="44"/>
      <x:c r="AW18" s="44"/>
      <x:c r="AX18" s="44"/>
      <x:c r="AY18" s="44"/>
      <x:c r="A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4"/>
      <x:c r="AL19" s="44"/>
      <x:c r="AM19" s="44"/>
      <x:c r="AN19" s="44"/>
      <x:c r="AO19" s="44"/>
      <x:c r="AP19" s="44"/>
      <x:c r="AQ19" s="44"/>
      <x:c r="AR19" s="44"/>
      <x:c r="AS19" s="44"/>
      <x:c r="AT19" s="44"/>
      <x:c r="AU19" s="44"/>
      <x:c r="AV19" s="44"/>
      <x:c r="AW19" s="44"/>
      <x:c r="AX19" s="44"/>
      <x:c r="AY19" s="44"/>
      <x:c r="A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  <x:c r="AR20" s="44"/>
      <x:c r="AS20" s="44"/>
      <x:c r="AT20" s="44"/>
      <x:c r="AU20" s="44"/>
      <x:c r="AV20" s="44"/>
      <x:c r="AW20" s="44"/>
      <x:c r="AX20" s="44"/>
      <x:c r="AY20" s="44"/>
      <x:c r="A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4"/>
      <x:c r="AL21" s="44"/>
      <x:c r="AM21" s="44"/>
      <x:c r="AN21" s="44"/>
      <x:c r="AO21" s="44"/>
      <x:c r="AP21" s="44"/>
      <x:c r="AQ21" s="44"/>
      <x:c r="AR21" s="44"/>
      <x:c r="AS21" s="44"/>
      <x:c r="AT21" s="44"/>
      <x:c r="AU21" s="44"/>
      <x:c r="AV21" s="44"/>
      <x:c r="AW21" s="44"/>
      <x:c r="AX21" s="44"/>
      <x:c r="AY21" s="44"/>
      <x:c r="A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4"/>
      <x:c r="AL22" s="44"/>
      <x:c r="AM22" s="44"/>
      <x:c r="AN22" s="44"/>
      <x:c r="AO22" s="44"/>
      <x:c r="AP22" s="44"/>
      <x:c r="AQ22" s="44"/>
      <x:c r="AR22" s="44"/>
      <x:c r="AS22" s="44"/>
      <x:c r="AT22" s="44"/>
      <x:c r="AU22" s="44"/>
      <x:c r="AV22" s="44"/>
      <x:c r="AW22" s="44"/>
      <x:c r="AX22" s="44"/>
      <x:c r="AY22" s="44"/>
      <x:c r="A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4"/>
      <x:c r="AL23" s="44"/>
      <x:c r="AM23" s="44"/>
      <x:c r="AN23" s="44"/>
      <x:c r="AO23" s="44"/>
      <x:c r="AP23" s="44"/>
      <x:c r="AQ23" s="44"/>
      <x:c r="AR23" s="44"/>
      <x:c r="AS23" s="44"/>
      <x:c r="AT23" s="44"/>
      <x:c r="AU23" s="44"/>
      <x:c r="AV23" s="44"/>
      <x:c r="AW23" s="44"/>
      <x:c r="AX23" s="44"/>
      <x:c r="AY23" s="44"/>
      <x:c r="A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4"/>
      <x:c r="AL25" s="44"/>
      <x:c r="AM25" s="44"/>
      <x:c r="AN25" s="44"/>
      <x:c r="AO25" s="44"/>
      <x:c r="AP25" s="44"/>
      <x:c r="AQ25" s="44"/>
      <x:c r="AR25" s="44"/>
      <x:c r="AS25" s="44"/>
      <x:c r="AT25" s="44"/>
      <x:c r="AU25" s="44"/>
      <x:c r="AV25" s="44"/>
      <x:c r="AW25" s="44"/>
      <x:c r="AX25" s="44"/>
      <x:c r="AY25" s="44"/>
      <x:c r="A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4"/>
      <x:c r="AL26" s="44"/>
      <x:c r="AM26" s="44"/>
      <x:c r="AN26" s="44"/>
      <x:c r="AO26" s="44"/>
      <x:c r="AP26" s="44"/>
      <x:c r="AQ26" s="44"/>
      <x:c r="AR26" s="44"/>
      <x:c r="AS26" s="44"/>
      <x:c r="AT26" s="44"/>
      <x:c r="AU26" s="44"/>
      <x:c r="AV26" s="44"/>
      <x:c r="AW26" s="44"/>
      <x:c r="AX26" s="44"/>
      <x:c r="AY26" s="44"/>
      <x:c r="A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/>
      <x:c r="AT27" s="44"/>
      <x:c r="AU27" s="44"/>
      <x:c r="AV27" s="44"/>
      <x:c r="AW27" s="44"/>
      <x:c r="AX27" s="44"/>
      <x:c r="AY27" s="44"/>
      <x:c r="A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/>
      <x:c r="AT28" s="44"/>
      <x:c r="AU28" s="44"/>
      <x:c r="AV28" s="44"/>
      <x:c r="AW28" s="44"/>
      <x:c r="AX28" s="44"/>
      <x:c r="AY28" s="44"/>
      <x:c r="A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4"/>
      <x:c r="AL32" s="44"/>
      <x:c r="AM32" s="44"/>
      <x:c r="AN32" s="44"/>
      <x:c r="AO32" s="44"/>
      <x:c r="AP32" s="44"/>
      <x:c r="AQ32" s="44"/>
      <x:c r="AR32" s="44"/>
      <x:c r="AS32" s="44"/>
      <x:c r="AT32" s="44"/>
      <x:c r="AU32" s="44"/>
      <x:c r="AV32" s="44"/>
      <x:c r="AW32" s="44"/>
      <x:c r="AX32" s="44"/>
      <x:c r="AY32" s="44"/>
      <x:c r="A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4"/>
      <x:c r="AL33" s="44"/>
      <x:c r="AM33" s="44"/>
      <x:c r="AN33" s="44"/>
      <x:c r="AO33" s="44"/>
      <x:c r="AP33" s="44"/>
      <x:c r="AQ33" s="44"/>
      <x:c r="AR33" s="44"/>
      <x:c r="AS33" s="44"/>
      <x:c r="AT33" s="44"/>
      <x:c r="AU33" s="44"/>
      <x:c r="AV33" s="44"/>
      <x:c r="AW33" s="44"/>
      <x:c r="AX33" s="44"/>
      <x:c r="AY33" s="44"/>
      <x:c r="A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4"/>
      <x:c r="AL34" s="44"/>
      <x:c r="AM34" s="44"/>
      <x:c r="AN34" s="44"/>
      <x:c r="AO34" s="44"/>
      <x:c r="AP34" s="44"/>
      <x:c r="AQ34" s="44"/>
      <x:c r="AR34" s="44"/>
      <x:c r="AS34" s="44"/>
      <x:c r="AT34" s="44"/>
      <x:c r="AU34" s="44"/>
      <x:c r="AV34" s="44"/>
      <x:c r="AW34" s="44"/>
      <x:c r="AX34" s="44"/>
      <x:c r="AY34" s="44"/>
      <x:c r="A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4"/>
      <x:c r="AL35" s="44"/>
      <x:c r="AM35" s="44"/>
      <x:c r="AN35" s="44"/>
      <x:c r="AO35" s="44"/>
      <x:c r="AP35" s="44"/>
      <x:c r="AQ35" s="44"/>
      <x:c r="AR35" s="44"/>
      <x:c r="AS35" s="44"/>
      <x:c r="AT35" s="44"/>
      <x:c r="AU35" s="44"/>
      <x:c r="AV35" s="44"/>
      <x:c r="AW35" s="44"/>
      <x:c r="AX35" s="44"/>
      <x:c r="AY35" s="44"/>
      <x:c r="A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4"/>
      <x:c r="AL36" s="44"/>
      <x:c r="AM36" s="44"/>
      <x:c r="AN36" s="44"/>
      <x:c r="AO36" s="44"/>
      <x:c r="AP36" s="44"/>
      <x:c r="AQ36" s="44"/>
      <x:c r="AR36" s="44"/>
      <x:c r="AS36" s="44"/>
      <x:c r="AT36" s="44"/>
      <x:c r="AU36" s="44"/>
      <x:c r="AV36" s="44"/>
      <x:c r="AW36" s="44"/>
      <x:c r="AX36" s="44"/>
      <x:c r="AY36" s="44"/>
      <x:c r="A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4"/>
      <x:c r="AL37" s="44"/>
      <x:c r="AM37" s="44"/>
      <x:c r="AN37" s="44"/>
      <x:c r="AO37" s="44"/>
      <x:c r="AP37" s="44"/>
      <x:c r="AQ37" s="44"/>
      <x:c r="AR37" s="44"/>
      <x:c r="AS37" s="44"/>
      <x:c r="AT37" s="44"/>
      <x:c r="AU37" s="44"/>
      <x:c r="AV37" s="44"/>
      <x:c r="AW37" s="44"/>
      <x:c r="AX37" s="44"/>
      <x:c r="AY37" s="44"/>
      <x:c r="A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4"/>
      <x:c r="AL38" s="44"/>
      <x:c r="AM38" s="44"/>
      <x:c r="AN38" s="44"/>
      <x:c r="AO38" s="44"/>
      <x:c r="AP38" s="44"/>
      <x:c r="AQ38" s="44"/>
      <x:c r="AR38" s="44"/>
      <x:c r="AS38" s="44"/>
      <x:c r="AT38" s="44"/>
      <x:c r="AU38" s="44"/>
      <x:c r="AV38" s="44"/>
      <x:c r="AW38" s="44"/>
      <x:c r="AX38" s="44"/>
      <x:c r="AY38" s="44"/>
      <x:c r="A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4"/>
      <x:c r="AL39" s="44"/>
      <x:c r="AM39" s="44"/>
      <x:c r="AN39" s="44"/>
      <x:c r="AO39" s="44"/>
      <x:c r="AP39" s="44"/>
      <x:c r="AQ39" s="44"/>
      <x:c r="AR39" s="44"/>
      <x:c r="AS39" s="44"/>
      <x:c r="AT39" s="44"/>
      <x:c r="AU39" s="44"/>
      <x:c r="AV39" s="44"/>
      <x:c r="AW39" s="44"/>
      <x:c r="AX39" s="44"/>
      <x:c r="AY39" s="44"/>
      <x:c r="A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4"/>
      <x:c r="AL40" s="44"/>
      <x:c r="AM40" s="44"/>
      <x:c r="AN40" s="44"/>
      <x:c r="AO40" s="44"/>
      <x:c r="AP40" s="44"/>
      <x:c r="AQ40" s="44"/>
      <x:c r="AR40" s="44"/>
      <x:c r="AS40" s="44"/>
      <x:c r="AT40" s="44"/>
      <x:c r="AU40" s="44"/>
      <x:c r="AV40" s="44"/>
      <x:c r="AW40" s="44"/>
      <x:c r="AX40" s="44"/>
      <x:c r="AY40" s="44"/>
      <x:c r="A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/>
      <x:c r="AM41" s="44"/>
      <x:c r="AN41" s="44"/>
      <x:c r="AO41" s="44"/>
      <x:c r="AP41" s="44"/>
      <x:c r="AQ41" s="44"/>
      <x:c r="AR41" s="44"/>
      <x:c r="AS41" s="44"/>
      <x:c r="AT41" s="44"/>
      <x:c r="AU41" s="44"/>
      <x:c r="AV41" s="44"/>
      <x:c r="AW41" s="44"/>
      <x:c r="AX41" s="44"/>
      <x:c r="AY41" s="44"/>
      <x:c r="A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4"/>
      <x:c r="AL42" s="44"/>
      <x:c r="AM42" s="44"/>
      <x:c r="AN42" s="44"/>
      <x:c r="AO42" s="44"/>
      <x:c r="AP42" s="44"/>
      <x:c r="AQ42" s="44"/>
      <x:c r="AR42" s="44"/>
      <x:c r="AS42" s="44"/>
      <x:c r="AT42" s="44"/>
      <x:c r="AU42" s="44"/>
      <x:c r="AV42" s="44"/>
      <x:c r="AW42" s="44"/>
      <x:c r="AX42" s="44"/>
      <x:c r="AY42" s="44"/>
      <x:c r="A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4"/>
      <x:c r="AL43" s="44"/>
      <x:c r="AM43" s="44"/>
      <x:c r="AN43" s="44"/>
      <x:c r="AO43" s="44"/>
      <x:c r="AP43" s="44"/>
      <x:c r="AQ43" s="44"/>
      <x:c r="AR43" s="44"/>
      <x:c r="AS43" s="44"/>
      <x:c r="AT43" s="44"/>
      <x:c r="AU43" s="44"/>
      <x:c r="AV43" s="44"/>
      <x:c r="AW43" s="44"/>
      <x:c r="AX43" s="44"/>
      <x:c r="AY43" s="44"/>
      <x:c r="A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4"/>
      <x:c r="AL44" s="44"/>
      <x:c r="AM44" s="44"/>
      <x:c r="AN44" s="44"/>
      <x:c r="AO44" s="44"/>
      <x:c r="AP44" s="44"/>
      <x:c r="AQ44" s="44"/>
      <x:c r="AR44" s="44"/>
      <x:c r="AS44" s="44"/>
      <x:c r="AT44" s="44"/>
      <x:c r="AU44" s="44"/>
      <x:c r="AV44" s="44"/>
      <x:c r="AW44" s="44"/>
      <x:c r="AX44" s="44"/>
      <x:c r="AY44" s="44"/>
      <x:c r="A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4"/>
      <x:c r="AL45" s="44"/>
      <x:c r="AM45" s="44"/>
      <x:c r="AN45" s="44"/>
      <x:c r="AO45" s="44"/>
      <x:c r="AP45" s="44"/>
      <x:c r="AQ45" s="44"/>
      <x:c r="AR45" s="44"/>
      <x:c r="AS45" s="44"/>
      <x:c r="AT45" s="44"/>
      <x:c r="AU45" s="44"/>
      <x:c r="AV45" s="44"/>
      <x:c r="AW45" s="44"/>
      <x:c r="AX45" s="44"/>
      <x:c r="AY45" s="44"/>
      <x:c r="A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4"/>
      <x:c r="AL47" s="44"/>
      <x:c r="AM47" s="44"/>
      <x:c r="AN47" s="44"/>
      <x:c r="AO47" s="44"/>
      <x:c r="AP47" s="44"/>
      <x:c r="AQ47" s="44"/>
      <x:c r="AR47" s="44"/>
      <x:c r="AS47" s="44"/>
      <x:c r="AT47" s="44"/>
      <x:c r="AU47" s="44"/>
      <x:c r="AV47" s="44"/>
      <x:c r="AW47" s="44"/>
      <x:c r="AX47" s="44"/>
      <x:c r="AY47" s="44"/>
      <x:c r="A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4"/>
      <x:c r="AL48" s="44"/>
      <x:c r="AM48" s="44"/>
      <x:c r="AN48" s="44"/>
      <x:c r="AO48" s="44"/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4"/>
      <x:c r="AL49" s="44"/>
      <x:c r="AM49" s="44"/>
      <x:c r="AN49" s="44"/>
      <x:c r="AO49" s="44"/>
      <x:c r="AP49" s="44"/>
      <x:c r="AQ49" s="44"/>
      <x:c r="AR49" s="44"/>
      <x:c r="AS49" s="44"/>
      <x:c r="AT49" s="44"/>
      <x:c r="AU49" s="44"/>
      <x:c r="AV49" s="44"/>
      <x:c r="AW49" s="44"/>
      <x:c r="AX49" s="44"/>
      <x:c r="AY49" s="44"/>
      <x:c r="A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4"/>
      <x:c r="AL50" s="44"/>
      <x:c r="AM50" s="44"/>
      <x:c r="AN50" s="44"/>
      <x:c r="AO50" s="44"/>
      <x:c r="AP50" s="44"/>
      <x:c r="AQ50" s="44"/>
      <x:c r="AR50" s="44"/>
      <x:c r="AS50" s="44"/>
      <x:c r="AT50" s="44"/>
      <x:c r="AU50" s="44"/>
      <x:c r="AV50" s="44"/>
      <x:c r="AW50" s="44"/>
      <x:c r="AX50" s="44"/>
      <x:c r="AY50" s="44"/>
      <x:c r="A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4"/>
      <x:c r="AL51" s="44"/>
      <x:c r="AM51" s="44"/>
      <x:c r="AN51" s="44"/>
      <x:c r="AO51" s="44"/>
      <x:c r="AP51" s="44"/>
      <x:c r="AQ51" s="44"/>
      <x:c r="AR51" s="44"/>
      <x:c r="AS51" s="44"/>
      <x:c r="AT51" s="44"/>
      <x:c r="AU51" s="44"/>
      <x:c r="AV51" s="44"/>
      <x:c r="AW51" s="44"/>
      <x:c r="AX51" s="44"/>
      <x:c r="AY51" s="44"/>
      <x:c r="A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4"/>
      <x:c r="AL52" s="44"/>
      <x:c r="AM52" s="44"/>
      <x:c r="AN52" s="44"/>
      <x:c r="AO52" s="44"/>
      <x:c r="AP52" s="44"/>
      <x:c r="AQ52" s="44"/>
      <x:c r="AR52" s="44"/>
      <x:c r="AS52" s="44"/>
      <x:c r="AT52" s="44"/>
      <x:c r="AU52" s="44"/>
      <x:c r="AV52" s="44"/>
      <x:c r="AW52" s="44"/>
      <x:c r="AX52" s="44"/>
      <x:c r="AY52" s="44"/>
      <x:c r="A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4"/>
      <x:c r="AL53" s="44"/>
      <x:c r="AM53" s="44"/>
      <x:c r="AN53" s="44"/>
      <x:c r="AO53" s="44"/>
      <x:c r="AP53" s="44"/>
      <x:c r="AQ53" s="44"/>
      <x:c r="AR53" s="44"/>
      <x:c r="AS53" s="44"/>
      <x:c r="AT53" s="44"/>
      <x:c r="AU53" s="44"/>
      <x:c r="AV53" s="44"/>
      <x:c r="AW53" s="44"/>
      <x:c r="AX53" s="44"/>
      <x:c r="AY53" s="44"/>
      <x:c r="A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4"/>
      <x:c r="AL54" s="44"/>
      <x:c r="AM54" s="44"/>
      <x:c r="AN54" s="44"/>
      <x:c r="AO54" s="44"/>
      <x:c r="AP54" s="44"/>
      <x:c r="AQ54" s="44"/>
      <x:c r="AR54" s="44"/>
      <x:c r="AS54" s="44"/>
      <x:c r="AT54" s="44"/>
      <x:c r="AU54" s="44"/>
      <x:c r="AV54" s="44"/>
      <x:c r="AW54" s="44"/>
      <x:c r="AX54" s="44"/>
      <x:c r="AY54" s="44"/>
      <x:c r="A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4"/>
      <x:c r="AL55" s="44"/>
      <x:c r="AM55" s="44"/>
      <x:c r="AN55" s="44"/>
      <x:c r="AO55" s="44"/>
      <x:c r="AP55" s="44"/>
      <x:c r="AQ55" s="44"/>
      <x:c r="AR55" s="44"/>
      <x:c r="AS55" s="44"/>
      <x:c r="AT55" s="44"/>
      <x:c r="AU55" s="44"/>
      <x:c r="AV55" s="44"/>
      <x:c r="AW55" s="44"/>
      <x:c r="AX55" s="44"/>
      <x:c r="AY55" s="44"/>
      <x:c r="A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4"/>
      <x:c r="AL56" s="44"/>
      <x:c r="AM56" s="44"/>
      <x:c r="AN56" s="44"/>
      <x:c r="AO56" s="44"/>
      <x:c r="AP56" s="44"/>
      <x:c r="AQ56" s="44"/>
      <x:c r="AR56" s="44"/>
      <x:c r="AS56" s="44"/>
      <x:c r="AT56" s="44"/>
      <x:c r="AU56" s="44"/>
      <x:c r="AV56" s="44"/>
      <x:c r="AW56" s="44"/>
      <x:c r="AX56" s="44"/>
      <x:c r="AY56" s="44"/>
      <x:c r="A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4"/>
      <x:c r="AL57" s="44"/>
      <x:c r="AM57" s="44"/>
      <x:c r="AN57" s="44"/>
      <x:c r="AO57" s="44"/>
      <x:c r="AP57" s="44"/>
      <x:c r="AQ57" s="44"/>
      <x:c r="AR57" s="44"/>
      <x:c r="AS57" s="44"/>
      <x:c r="AT57" s="44"/>
      <x:c r="AU57" s="44"/>
      <x:c r="AV57" s="44"/>
      <x:c r="AW57" s="44"/>
      <x:c r="AX57" s="44"/>
      <x:c r="AY57" s="44"/>
      <x:c r="A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4"/>
      <x:c r="AL58" s="44"/>
      <x:c r="AM58" s="44"/>
      <x:c r="AN58" s="44"/>
      <x:c r="AO58" s="44"/>
      <x:c r="AP58" s="44"/>
      <x:c r="AQ58" s="44"/>
      <x:c r="AR58" s="44"/>
      <x:c r="AS58" s="44"/>
      <x:c r="AT58" s="44"/>
      <x:c r="AU58" s="44"/>
      <x:c r="AV58" s="44"/>
      <x:c r="AW58" s="44"/>
      <x:c r="AX58" s="44"/>
      <x:c r="AY58" s="44"/>
      <x:c r="A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4"/>
      <x:c r="AL59" s="44"/>
      <x:c r="AM59" s="44"/>
      <x:c r="AN59" s="44"/>
      <x:c r="AO59" s="44"/>
      <x:c r="AP59" s="44"/>
      <x:c r="AQ59" s="44"/>
      <x:c r="AR59" s="44"/>
      <x:c r="AS59" s="44"/>
      <x:c r="AT59" s="44"/>
      <x:c r="AU59" s="44"/>
      <x:c r="AV59" s="44"/>
      <x:c r="AW59" s="44"/>
      <x:c r="AX59" s="44"/>
      <x:c r="AY59" s="44"/>
      <x:c r="A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4"/>
      <x:c r="AL60" s="44"/>
      <x:c r="AM60" s="44"/>
      <x:c r="AN60" s="44"/>
      <x:c r="AO60" s="44"/>
      <x:c r="AP60" s="44"/>
      <x:c r="AQ60" s="44"/>
      <x:c r="AR60" s="44"/>
      <x:c r="AS60" s="44"/>
      <x:c r="AT60" s="44"/>
      <x:c r="AU60" s="44"/>
      <x:c r="AV60" s="44"/>
      <x:c r="AW60" s="44"/>
      <x:c r="AX60" s="44"/>
      <x:c r="AY60" s="44"/>
      <x:c r="A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4"/>
      <x:c r="AL61" s="44"/>
      <x:c r="AM61" s="44"/>
      <x:c r="AN61" s="44"/>
      <x:c r="AO61" s="44"/>
      <x:c r="AP61" s="44"/>
      <x:c r="AQ61" s="44"/>
      <x:c r="AR61" s="44"/>
      <x:c r="AS61" s="44"/>
      <x:c r="AT61" s="44"/>
      <x:c r="AU61" s="44"/>
      <x:c r="AV61" s="44"/>
      <x:c r="AW61" s="44"/>
      <x:c r="AX61" s="44"/>
      <x:c r="AY61" s="44"/>
      <x:c r="A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4"/>
      <x:c r="AL62" s="44"/>
      <x:c r="AM62" s="44"/>
      <x:c r="AN62" s="44"/>
      <x:c r="AO62" s="44"/>
      <x:c r="AP62" s="44"/>
      <x:c r="AQ62" s="44"/>
      <x:c r="AR62" s="44"/>
      <x:c r="AS62" s="44"/>
      <x:c r="AT62" s="44"/>
      <x:c r="AU62" s="44"/>
      <x:c r="AV62" s="44"/>
      <x:c r="AW62" s="44"/>
      <x:c r="AX62" s="44"/>
      <x:c r="AY62" s="44"/>
      <x:c r="A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4"/>
      <x:c r="AL63" s="44"/>
      <x:c r="AM63" s="44"/>
      <x:c r="AN63" s="44"/>
      <x:c r="AO63" s="44"/>
      <x:c r="AP63" s="44"/>
      <x:c r="AQ63" s="44"/>
      <x:c r="AR63" s="44"/>
      <x:c r="AS63" s="44"/>
      <x:c r="AT63" s="44"/>
      <x:c r="AU63" s="44"/>
      <x:c r="AV63" s="44"/>
      <x:c r="AW63" s="44"/>
      <x:c r="AX63" s="44"/>
      <x:c r="AY63" s="44"/>
      <x:c r="A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4"/>
      <x:c r="AL64" s="44"/>
      <x:c r="AM64" s="44"/>
      <x:c r="AN64" s="44"/>
      <x:c r="AO64" s="44"/>
      <x:c r="AP64" s="44"/>
      <x:c r="AQ64" s="44"/>
      <x:c r="AR64" s="44"/>
      <x:c r="AS64" s="44"/>
      <x:c r="AT64" s="44"/>
      <x:c r="AU64" s="44"/>
      <x:c r="AV64" s="44"/>
      <x:c r="AW64" s="44"/>
      <x:c r="AX64" s="44"/>
      <x:c r="AY64" s="44"/>
      <x:c r="A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4"/>
      <x:c r="AL65" s="44"/>
      <x:c r="AM65" s="44"/>
      <x:c r="AN65" s="44"/>
      <x:c r="AO65" s="44"/>
      <x:c r="AP65" s="44"/>
      <x:c r="AQ65" s="44"/>
      <x:c r="AR65" s="44"/>
      <x:c r="AS65" s="44"/>
      <x:c r="AT65" s="44"/>
      <x:c r="AU65" s="44"/>
      <x:c r="AV65" s="44"/>
      <x:c r="AW65" s="44"/>
      <x:c r="AX65" s="44"/>
      <x:c r="AY65" s="44"/>
      <x:c r="A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4"/>
      <x:c r="AL66" s="44"/>
      <x:c r="AM66" s="44"/>
      <x:c r="AN66" s="44"/>
      <x:c r="AO66" s="44"/>
      <x:c r="AP66" s="44"/>
      <x:c r="AQ66" s="44"/>
      <x:c r="AR66" s="44"/>
      <x:c r="AS66" s="44"/>
      <x:c r="AT66" s="44"/>
      <x:c r="AU66" s="44"/>
      <x:c r="AV66" s="44"/>
      <x:c r="AW66" s="44"/>
      <x:c r="AX66" s="44"/>
      <x:c r="AY66" s="44"/>
      <x:c r="A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4"/>
      <x:c r="AL67" s="44"/>
      <x:c r="AM67" s="44"/>
      <x:c r="AN67" s="44"/>
      <x:c r="AO67" s="44"/>
      <x:c r="AP67" s="44"/>
      <x:c r="AQ67" s="44"/>
      <x:c r="AR67" s="44"/>
      <x:c r="AS67" s="44"/>
      <x:c r="AT67" s="44"/>
      <x:c r="AU67" s="44"/>
      <x:c r="AV67" s="44"/>
      <x:c r="AW67" s="44"/>
      <x:c r="AX67" s="44"/>
      <x:c r="AY67" s="44"/>
      <x:c r="A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4"/>
      <x:c r="AL76" s="44"/>
      <x:c r="AM76" s="44"/>
      <x:c r="AN76" s="44"/>
      <x:c r="AO76" s="44"/>
      <x:c r="AP76" s="44"/>
      <x:c r="AQ76" s="44"/>
      <x:c r="AR76" s="44"/>
      <x:c r="AS76" s="44"/>
      <x:c r="AT76" s="44"/>
      <x:c r="AU76" s="44"/>
      <x:c r="AV76" s="44"/>
      <x:c r="AW76" s="44"/>
      <x:c r="AX76" s="44"/>
      <x:c r="AY76" s="44"/>
      <x:c r="A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4"/>
      <x:c r="AL77" s="44"/>
      <x:c r="AM77" s="44"/>
      <x:c r="AN77" s="44"/>
      <x:c r="AO77" s="44"/>
      <x:c r="AP77" s="44"/>
      <x:c r="AQ77" s="44"/>
      <x:c r="AR77" s="44"/>
      <x:c r="AS77" s="44"/>
      <x:c r="AT77" s="44"/>
      <x:c r="AU77" s="44"/>
      <x:c r="AV77" s="44"/>
      <x:c r="AW77" s="44"/>
      <x:c r="AX77" s="44"/>
      <x:c r="AY77" s="44"/>
      <x:c r="A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4"/>
      <x:c r="AL78" s="44"/>
      <x:c r="AM78" s="44"/>
      <x:c r="AN78" s="44"/>
      <x:c r="AO78" s="44"/>
      <x:c r="AP78" s="44"/>
      <x:c r="AQ78" s="44"/>
      <x:c r="AR78" s="44"/>
      <x:c r="AS78" s="44"/>
      <x:c r="AT78" s="44"/>
      <x:c r="AU78" s="44"/>
      <x:c r="AV78" s="44"/>
      <x:c r="AW78" s="44"/>
      <x:c r="AX78" s="44"/>
      <x:c r="AY78" s="44"/>
      <x:c r="A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4"/>
      <x:c r="AL79" s="44"/>
      <x:c r="AM79" s="44"/>
      <x:c r="AN79" s="44"/>
      <x:c r="AO79" s="44"/>
      <x:c r="AP79" s="44"/>
      <x:c r="AQ79" s="44"/>
      <x:c r="AR79" s="44"/>
      <x:c r="AS79" s="44"/>
      <x:c r="AT79" s="44"/>
      <x:c r="AU79" s="44"/>
      <x:c r="AV79" s="44"/>
      <x:c r="AW79" s="44"/>
      <x:c r="AX79" s="44"/>
      <x:c r="AY79" s="44"/>
      <x:c r="A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4"/>
      <x:c r="AL80" s="44"/>
      <x:c r="AM80" s="44"/>
      <x:c r="AN80" s="44"/>
      <x:c r="AO80" s="44"/>
      <x:c r="AP80" s="44"/>
      <x:c r="AQ80" s="44"/>
      <x:c r="AR80" s="44"/>
      <x:c r="AS80" s="44"/>
      <x:c r="AT80" s="44"/>
      <x:c r="AU80" s="44"/>
      <x:c r="AV80" s="44"/>
      <x:c r="AW80" s="44"/>
      <x:c r="AX80" s="44"/>
      <x:c r="AY80" s="44"/>
      <x:c r="A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4"/>
      <x:c r="AL81" s="44"/>
      <x:c r="AM81" s="44"/>
      <x:c r="AN81" s="44"/>
      <x:c r="AO81" s="44"/>
      <x:c r="AP81" s="44"/>
      <x:c r="AQ81" s="44"/>
      <x:c r="AR81" s="44"/>
      <x:c r="AS81" s="44"/>
      <x:c r="AT81" s="44"/>
      <x:c r="AU81" s="44"/>
      <x:c r="AV81" s="44"/>
      <x:c r="AW81" s="44"/>
      <x:c r="AX81" s="44"/>
      <x:c r="AY81" s="44"/>
      <x:c r="A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4"/>
      <x:c r="AL82" s="44"/>
      <x:c r="AM82" s="44"/>
      <x:c r="AN82" s="44"/>
      <x:c r="AO82" s="44"/>
      <x:c r="AP82" s="44"/>
      <x:c r="AQ82" s="44"/>
      <x:c r="AR82" s="44"/>
      <x:c r="AS82" s="44"/>
      <x:c r="AT82" s="44"/>
      <x:c r="AU82" s="44"/>
      <x:c r="AV82" s="44"/>
      <x:c r="AW82" s="44"/>
      <x:c r="AX82" s="44"/>
      <x:c r="AY82" s="44"/>
      <x:c r="A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4"/>
      <x:c r="AL83" s="44"/>
      <x:c r="AM83" s="44"/>
      <x:c r="AN83" s="44"/>
      <x:c r="AO83" s="44"/>
      <x:c r="AP83" s="44"/>
      <x:c r="AQ83" s="44"/>
      <x:c r="AR83" s="44"/>
      <x:c r="AS83" s="44"/>
      <x:c r="AT83" s="44"/>
      <x:c r="AU83" s="44"/>
      <x:c r="AV83" s="44"/>
      <x:c r="AW83" s="44"/>
      <x:c r="AX83" s="44"/>
      <x:c r="AY83" s="44"/>
      <x:c r="A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4"/>
      <x:c r="AL84" s="44"/>
      <x:c r="AM84" s="44"/>
      <x:c r="AN84" s="44"/>
      <x:c r="AO84" s="44"/>
      <x:c r="AP84" s="44"/>
      <x:c r="AQ84" s="44"/>
      <x:c r="AR84" s="44"/>
      <x:c r="AS84" s="44"/>
      <x:c r="AT84" s="44"/>
      <x:c r="AU84" s="44"/>
      <x:c r="AV84" s="44"/>
      <x:c r="AW84" s="44"/>
      <x:c r="AX84" s="44"/>
      <x:c r="AY84" s="44"/>
      <x:c r="A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4"/>
      <x:c r="AL85" s="44"/>
      <x:c r="AM85" s="44"/>
      <x:c r="AN85" s="44"/>
      <x:c r="AO85" s="44"/>
      <x:c r="AP85" s="44"/>
      <x:c r="AQ85" s="44"/>
      <x:c r="AR85" s="44"/>
      <x:c r="AS85" s="44"/>
      <x:c r="AT85" s="44"/>
      <x:c r="AU85" s="44"/>
      <x:c r="AV85" s="44"/>
      <x:c r="AW85" s="44"/>
      <x:c r="AX85" s="44"/>
      <x:c r="AY85" s="44"/>
      <x:c r="A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4"/>
      <x:c r="AL86" s="44"/>
      <x:c r="AM86" s="44"/>
      <x:c r="AN86" s="44"/>
      <x:c r="AO86" s="44"/>
      <x:c r="AP86" s="44"/>
      <x:c r="AQ86" s="44"/>
      <x:c r="AR86" s="44"/>
      <x:c r="AS86" s="44"/>
      <x:c r="AT86" s="44"/>
      <x:c r="AU86" s="44"/>
      <x:c r="AV86" s="44"/>
      <x:c r="AW86" s="44"/>
      <x:c r="AX86" s="44"/>
      <x:c r="AY86" s="44"/>
      <x:c r="A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4"/>
      <x:c r="AL87" s="44"/>
      <x:c r="AM87" s="44"/>
      <x:c r="AN87" s="44"/>
      <x:c r="AO87" s="44"/>
      <x:c r="AP87" s="44"/>
      <x:c r="AQ87" s="44"/>
      <x:c r="AR87" s="44"/>
      <x:c r="AS87" s="44"/>
      <x:c r="AT87" s="44"/>
      <x:c r="AU87" s="44"/>
      <x:c r="AV87" s="44"/>
      <x:c r="AW87" s="44"/>
      <x:c r="AX87" s="44"/>
      <x:c r="AY87" s="44"/>
      <x:c r="A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4"/>
      <x:c r="AL88" s="44"/>
      <x:c r="AM88" s="44"/>
      <x:c r="AN88" s="44"/>
      <x:c r="AO88" s="44"/>
      <x:c r="AP88" s="44"/>
      <x:c r="AQ88" s="44"/>
      <x:c r="AR88" s="44"/>
      <x:c r="AS88" s="44"/>
      <x:c r="AT88" s="44"/>
      <x:c r="AU88" s="44"/>
      <x:c r="AV88" s="44"/>
      <x:c r="AW88" s="44"/>
      <x:c r="AX88" s="44"/>
      <x:c r="AY88" s="44"/>
      <x:c r="A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4"/>
      <x:c r="AL89" s="44"/>
      <x:c r="AM89" s="44"/>
      <x:c r="AN89" s="44"/>
      <x:c r="AO89" s="44"/>
      <x:c r="AP89" s="44"/>
      <x:c r="AQ89" s="44"/>
      <x:c r="AR89" s="44"/>
      <x:c r="AS89" s="44"/>
      <x:c r="AT89" s="44"/>
      <x:c r="AU89" s="44"/>
      <x:c r="AV89" s="44"/>
      <x:c r="AW89" s="44"/>
      <x:c r="AX89" s="44"/>
      <x:c r="AY89" s="44"/>
      <x:c r="A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4"/>
      <x:c r="AL90" s="44"/>
      <x:c r="AM90" s="44"/>
      <x:c r="AN90" s="44"/>
      <x:c r="AO90" s="44"/>
      <x:c r="AP90" s="44"/>
      <x:c r="AQ90" s="44"/>
      <x:c r="AR90" s="44"/>
      <x:c r="AS90" s="44"/>
      <x:c r="AT90" s="44"/>
      <x:c r="AU90" s="44"/>
      <x:c r="AV90" s="44"/>
      <x:c r="AW90" s="44"/>
      <x:c r="AX90" s="44"/>
      <x:c r="AY90" s="44"/>
      <x:c r="A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4"/>
      <x:c r="AL91" s="44"/>
      <x:c r="AM91" s="44"/>
      <x:c r="AN91" s="44"/>
      <x:c r="AO91" s="44"/>
      <x:c r="AP91" s="44"/>
      <x:c r="AQ91" s="44"/>
      <x:c r="AR91" s="44"/>
      <x:c r="AS91" s="44"/>
      <x:c r="AT91" s="44"/>
      <x:c r="AU91" s="44"/>
      <x:c r="AV91" s="44"/>
      <x:c r="AW91" s="44"/>
      <x:c r="AX91" s="44"/>
      <x:c r="AY91" s="44"/>
      <x:c r="A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4"/>
      <x:c r="AL92" s="44"/>
      <x:c r="AM92" s="44"/>
      <x:c r="AN92" s="44"/>
      <x:c r="AO92" s="44"/>
      <x:c r="AP92" s="44"/>
      <x:c r="AQ92" s="44"/>
      <x:c r="AR92" s="44"/>
      <x:c r="AS92" s="44"/>
      <x:c r="AT92" s="44"/>
      <x:c r="AU92" s="44"/>
      <x:c r="AV92" s="44"/>
      <x:c r="AW92" s="44"/>
      <x:c r="AX92" s="44"/>
      <x:c r="AY92" s="44"/>
      <x:c r="A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4"/>
      <x:c r="AL93" s="44"/>
      <x:c r="AM93" s="44"/>
      <x:c r="AN93" s="44"/>
      <x:c r="AO93" s="44"/>
      <x:c r="AP93" s="44"/>
      <x:c r="AQ93" s="44"/>
      <x:c r="AR93" s="44"/>
      <x:c r="AS93" s="44"/>
      <x:c r="AT93" s="44"/>
      <x:c r="AU93" s="44"/>
      <x:c r="AV93" s="44"/>
      <x:c r="AW93" s="44"/>
      <x:c r="AX93" s="44"/>
      <x:c r="AY93" s="44"/>
      <x:c r="A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4"/>
      <x:c r="AL94" s="44"/>
      <x:c r="AM94" s="44"/>
      <x:c r="AN94" s="44"/>
      <x:c r="AO94" s="44"/>
      <x:c r="AP94" s="44"/>
      <x:c r="AQ94" s="44"/>
      <x:c r="AR94" s="44"/>
      <x:c r="AS94" s="44"/>
      <x:c r="AT94" s="44"/>
      <x:c r="AU94" s="44"/>
      <x:c r="AV94" s="44"/>
      <x:c r="AW94" s="44"/>
      <x:c r="AX94" s="44"/>
      <x:c r="AY94" s="44"/>
      <x:c r="A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4"/>
      <x:c r="AL96" s="44"/>
      <x:c r="AM96" s="44"/>
      <x:c r="AN96" s="44"/>
      <x:c r="AO96" s="44"/>
      <x:c r="AP96" s="44"/>
      <x:c r="AQ96" s="44"/>
      <x:c r="AR96" s="44"/>
      <x:c r="AS96" s="44"/>
      <x:c r="AT96" s="44"/>
      <x:c r="AU96" s="44"/>
      <x:c r="AV96" s="44"/>
      <x:c r="AW96" s="44"/>
      <x:c r="AX96" s="44"/>
      <x:c r="AY96" s="44"/>
      <x:c r="A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4"/>
      <x:c r="AL97" s="44"/>
      <x:c r="AM97" s="44"/>
      <x:c r="AN97" s="44"/>
      <x:c r="AO97" s="44"/>
      <x:c r="AP97" s="44"/>
      <x:c r="AQ97" s="44"/>
      <x:c r="AR97" s="44"/>
      <x:c r="AS97" s="44"/>
      <x:c r="AT97" s="44"/>
      <x:c r="AU97" s="44"/>
      <x:c r="AV97" s="44"/>
      <x:c r="AW97" s="44"/>
      <x:c r="AX97" s="44"/>
      <x:c r="AY97" s="44"/>
      <x:c r="A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4"/>
      <x:c r="AL98" s="44"/>
      <x:c r="AM98" s="44"/>
      <x:c r="AN98" s="44"/>
      <x:c r="AO98" s="44"/>
      <x:c r="AP98" s="44"/>
      <x:c r="AQ98" s="44"/>
      <x:c r="AR98" s="44"/>
      <x:c r="AS98" s="44"/>
      <x:c r="AT98" s="44"/>
      <x:c r="AU98" s="44"/>
      <x:c r="AV98" s="44"/>
      <x:c r="AW98" s="44"/>
      <x:c r="AX98" s="44"/>
      <x:c r="AY98" s="44"/>
      <x:c r="A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4"/>
      <x:c r="AL99" s="44"/>
      <x:c r="AM99" s="44"/>
      <x:c r="AN99" s="44"/>
      <x:c r="AO99" s="44"/>
      <x:c r="AP99" s="44"/>
      <x:c r="AQ99" s="44"/>
      <x:c r="AR99" s="44"/>
      <x:c r="AS99" s="44"/>
      <x:c r="AT99" s="44"/>
      <x:c r="AU99" s="44"/>
      <x:c r="AV99" s="44"/>
      <x:c r="AW99" s="44"/>
      <x:c r="AX99" s="44"/>
      <x:c r="AY99" s="44"/>
      <x:c r="A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4"/>
      <x:c r="AL100" s="44"/>
      <x:c r="AM100" s="44"/>
      <x:c r="AN100" s="44"/>
      <x:c r="AO100" s="44"/>
      <x:c r="AP100" s="44"/>
      <x:c r="AQ100" s="44"/>
      <x:c r="AR100" s="44"/>
      <x:c r="AS100" s="44"/>
      <x:c r="AT100" s="44"/>
      <x:c r="AU100" s="44"/>
      <x:c r="AV100" s="44"/>
      <x:c r="AW100" s="44"/>
      <x:c r="AX100" s="44"/>
      <x:c r="AY100" s="44"/>
      <x:c r="AZ100" s="44"/>
    </x:row>
  </x:sheetData>
  <x:pageMargins left="0.7" right="0.7" top="0.75" bottom="0.75" header="0.3" footer="0.3"/>
  <x:tableParts count="1">
    <x:tablePart xmlns:r="http://schemas.openxmlformats.org/officeDocument/2006/relationships" r:id="R6ddca776c9344d9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2" t="str">
        <x:v>Case</x:v>
      </x:c>
      <x:c r="B1" s="22" t="str">
        <x:v>Pred Tmax</x:v>
      </x:c>
      <x:c r="C1" s="22" t="str">
        <x:v>COMSOL Tmax</x:v>
      </x:c>
      <x:c r="D1" s="22" t="str">
        <x:v>Pred Rth</x:v>
      </x:c>
      <x:c r="E1" s="22" t="str">
        <x:v>COMSOL Rth</x:v>
      </x:c>
      <x:c r="F1" s="22" t="str">
        <x:v>Pred Tout</x:v>
      </x:c>
      <x:c r="G1" s="22" t="str">
        <x:v>COMSOL Tout</x:v>
      </x:c>
      <x:c r="H1" s="22" t="str">
        <x:v>Pred Δp</x:v>
      </x:c>
      <x:c r="I1" s="22" t="str">
        <x:v>COMSOL Δp</x:v>
      </x:c>
      <x:c r="J1" s="22" t="str">
        <x:v>Pred Pump</x:v>
      </x:c>
      <x:c r="K1" s="22" t="str">
        <x:v>COMSOL Pump</x:v>
      </x:c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  <x:c r="AA1" s="44"/>
      <x:c r="AB1" s="44"/>
      <x:c r="AC1" s="44"/>
      <x:c r="AD1" s="44"/>
      <x:c r="AE1" s="44"/>
      <x:c r="AF1" s="44"/>
      <x:c r="AG1" s="44"/>
      <x:c r="AH1" s="44"/>
      <x:c r="AI1" s="44"/>
      <x:c r="AJ1" s="44"/>
      <x:c r="AK1" s="44"/>
      <x:c r="AL1" s="44"/>
      <x:c r="AM1" s="44"/>
      <x:c r="AN1" s="44"/>
      <x:c r="AO1" s="44"/>
      <x:c r="AP1" s="44"/>
      <x:c r="AQ1" s="44"/>
      <x:c r="AR1" s="44"/>
      <x:c r="AS1" s="44"/>
      <x:c r="AT1" s="44"/>
      <x:c r="AU1" s="44"/>
      <x:c r="AV1" s="44"/>
      <x:c r="AW1" s="44"/>
      <x:c r="AX1" s="44"/>
      <x:c r="AY1" s="44"/>
      <x:c r="AZ1" s="44"/>
    </x:row>
    <x:row r="2">
      <x:c r="A2" s="44" t="str">
        <x:v>V1</x:v>
      </x:c>
      <x:c r="B2" s="44" t="n">
        <x:v>130.55411811959883</x:v>
      </x:c>
      <x:c r="C2" s="44" t="n">
        <x:v>130.45469173984378</x:v>
      </x:c>
      <x:c r="D2" s="44" t="n">
        <x:v>1.0555411811959883</x:v>
      </x:c>
      <x:c r="E2" s="44" t="n">
        <x:v>1.0545469173984379</x:v>
      </x:c>
      <x:c r="F2" s="44" t="n">
        <x:v>37.106559572192516</x:v>
      </x:c>
      <x:c r="G2" s="44" t="n">
        <x:v>36.95741349583773</x:v>
      </x:c>
      <x:c r="H2" s="44" t="n">
        <x:v>3712.62810459749</x:v>
      </x:c>
      <x:c r="I2" s="44" t="n">
        <x:v>3707.6165933433713</x:v>
      </x:c>
      <x:c r="J2" s="44" t="n">
        <x:v>0.00742525620919498</x:v>
      </x:c>
      <x:c r="K2" s="44" t="n">
        <x:v>0.007415233186686742</x:v>
      </x:c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  <x:c r="AA2" s="44"/>
      <x:c r="AB2" s="44"/>
      <x:c r="AC2" s="44"/>
      <x:c r="AD2" s="44"/>
      <x:c r="AE2" s="44"/>
      <x:c r="AF2" s="44"/>
      <x:c r="AG2" s="44"/>
      <x:c r="AH2" s="44"/>
      <x:c r="AI2" s="44"/>
      <x:c r="AJ2" s="44"/>
      <x:c r="AK2" s="44"/>
      <x:c r="AL2" s="44"/>
      <x:c r="AM2" s="44"/>
      <x:c r="AN2" s="44"/>
      <x:c r="AO2" s="44"/>
      <x:c r="AP2" s="44"/>
      <x:c r="AQ2" s="44"/>
      <x:c r="AR2" s="44"/>
      <x:c r="AS2" s="44"/>
      <x:c r="AT2" s="44"/>
      <x:c r="AU2" s="44"/>
      <x:c r="AV2" s="44"/>
      <x:c r="AW2" s="44"/>
      <x:c r="AX2" s="44"/>
      <x:c r="AY2" s="44"/>
      <x:c r="AZ2" s="44"/>
    </x:row>
    <x:row r="3">
      <x:c r="A3" s="44" t="str">
        <x:v>V2</x:v>
      </x:c>
      <x:c r="B3" s="44" t="n">
        <x:v>78.77718880798611</x:v>
      </x:c>
      <x:c r="C3" s="44" t="n">
        <x:v>78.83079426542457</x:v>
      </x:c>
      <x:c r="D3" s="44" t="n">
        <x:v>0.5377718880798611</x:v>
      </x:c>
      <x:c r="E3" s="44" t="n">
        <x:v>0.5383079426542458</x:v>
      </x:c>
      <x:c r="F3" s="44" t="n">
        <x:v>32.901639309652346</x:v>
      </x:c>
      <x:c r="G3" s="44" t="n">
        <x:v>32.961544734971085</x:v>
      </x:c>
      <x:c r="H3" s="44" t="n">
        <x:v>6044.184833927884</x:v>
      </x:c>
      <x:c r="I3" s="44" t="n">
        <x:v>6044.394201564301</x:v>
      </x:c>
      <x:c r="J3" s="44" t="n">
        <x:v>0.01813255450178365</x:v>
      </x:c>
      <x:c r="K3" s="44" t="n">
        <x:v>0.0181331826046929</x:v>
      </x:c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  <x:c r="AA3" s="44"/>
      <x:c r="AB3" s="44"/>
      <x:c r="AC3" s="44"/>
      <x:c r="AD3" s="44"/>
      <x:c r="AE3" s="44"/>
      <x:c r="AF3" s="44"/>
      <x:c r="AG3" s="44"/>
      <x:c r="AH3" s="44"/>
      <x:c r="AI3" s="44"/>
      <x:c r="AJ3" s="44"/>
      <x:c r="AK3" s="44"/>
      <x:c r="AL3" s="44"/>
      <x:c r="AM3" s="44"/>
      <x:c r="AN3" s="44"/>
      <x:c r="AO3" s="44"/>
      <x:c r="AP3" s="44"/>
      <x:c r="AQ3" s="44"/>
      <x:c r="AR3" s="44"/>
      <x:c r="AS3" s="44"/>
      <x:c r="AT3" s="44"/>
      <x:c r="AU3" s="44"/>
      <x:c r="AV3" s="44"/>
      <x:c r="AW3" s="44"/>
      <x:c r="AX3" s="44"/>
      <x:c r="AY3" s="44"/>
      <x:c r="AZ3" s="44"/>
    </x:row>
    <x:row r="4">
      <x:c r="A4" s="44" t="str">
        <x:v>V3</x:v>
      </x:c>
      <x:c r="B4" s="44" t="n">
        <x:v>78.01013642089467</x:v>
      </x:c>
      <x:c r="C4" s="44" t="n">
        <x:v>78.03722515170631</x:v>
      </x:c>
      <x:c r="D4" s="44" t="n">
        <x:v>0.5301013642089466</x:v>
      </x:c>
      <x:c r="E4" s="44" t="n">
        <x:v>0.5303722515170631</x:v>
      </x:c>
      <x:c r="F4" s="44" t="n">
        <x:v>31.35627153789479</x:v>
      </x:c>
      <x:c r="G4" s="44" t="n">
        <x:v>31.222925339564654</x:v>
      </x:c>
      <x:c r="H4" s="44" t="n">
        <x:v>8064.0698619206505</x:v>
      </x:c>
      <x:c r="I4" s="44" t="n">
        <x:v>8066.439099888552</x:v>
      </x:c>
      <x:c r="J4" s="44" t="n">
        <x:v>0.030912267804029163</x:v>
      </x:c>
      <x:c r="K4" s="44" t="n">
        <x:v>0.030921349882906117</x:v>
      </x:c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  <x:c r="AA4" s="44"/>
      <x:c r="AB4" s="44"/>
      <x:c r="AC4" s="44"/>
      <x:c r="AD4" s="44"/>
      <x:c r="AE4" s="44"/>
      <x:c r="AF4" s="44"/>
      <x:c r="AG4" s="44"/>
      <x:c r="AH4" s="44"/>
      <x:c r="AI4" s="44"/>
      <x:c r="AJ4" s="44"/>
      <x:c r="AK4" s="44"/>
      <x:c r="AL4" s="44"/>
      <x:c r="AM4" s="44"/>
      <x:c r="AN4" s="44"/>
      <x:c r="AO4" s="44"/>
      <x:c r="AP4" s="44"/>
      <x:c r="AQ4" s="44"/>
      <x:c r="AR4" s="44"/>
      <x:c r="AS4" s="44"/>
      <x:c r="AT4" s="44"/>
      <x:c r="AU4" s="44"/>
      <x:c r="AV4" s="44"/>
      <x:c r="AW4" s="44"/>
      <x:c r="AX4" s="44"/>
      <x:c r="AY4" s="44"/>
      <x:c r="AZ4" s="44"/>
    </x:row>
    <x:row r="5">
      <x:c r="A5" s="44" t="str">
        <x:v>V4</x:v>
      </x:c>
      <x:c r="B5" s="44" t="n">
        <x:v>65.13483820933885</x:v>
      </x:c>
      <x:c r="C5" s="44" t="n">
        <x:v>65.1100601860901</x:v>
      </x:c>
      <x:c r="D5" s="44" t="n">
        <x:v>0.40134838209338847</x:v>
      </x:c>
      <x:c r="E5" s="44" t="n">
        <x:v>0.40110060186090096</x:v>
      </x:c>
      <x:c r="F5" s="44" t="n">
        <x:v>30.45155851246638</x:v>
      </x:c>
      <x:c r="G5" s="44" t="n">
        <x:v>30.294307071215655</x:v>
      </x:c>
      <x:c r="H5" s="44" t="n">
        <x:v>9701.54625083356</x:v>
      </x:c>
      <x:c r="I5" s="44" t="n">
        <x:v>9706.405731555173</x:v>
      </x:c>
      <x:c r="J5" s="44" t="n">
        <x:v>0.043656958128751026</x:v>
      </x:c>
      <x:c r="K5" s="44" t="n">
        <x:v>0.04367882579199828</x:v>
      </x:c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  <x:c r="AA5" s="44"/>
      <x:c r="AB5" s="44"/>
      <x:c r="AC5" s="44"/>
      <x:c r="AD5" s="44"/>
      <x:c r="AE5" s="44"/>
      <x:c r="AF5" s="44"/>
      <x:c r="AG5" s="44"/>
      <x:c r="AH5" s="44"/>
      <x:c r="AI5" s="44"/>
      <x:c r="AJ5" s="44"/>
      <x:c r="AK5" s="44"/>
      <x:c r="AL5" s="44"/>
      <x:c r="AM5" s="44"/>
      <x:c r="AN5" s="44"/>
      <x:c r="AO5" s="44"/>
      <x:c r="AP5" s="44"/>
      <x:c r="AQ5" s="44"/>
      <x:c r="AR5" s="44"/>
      <x:c r="AS5" s="44"/>
      <x:c r="AT5" s="44"/>
      <x:c r="AU5" s="44"/>
      <x:c r="AV5" s="44"/>
      <x:c r="AW5" s="44"/>
      <x:c r="AX5" s="44"/>
      <x:c r="AY5" s="44"/>
      <x:c r="AZ5" s="44"/>
    </x:row>
    <x:row r="6">
      <x:c r="A6" s="44" t="str">
        <x:v>V5</x:v>
      </x:c>
      <x:c r="B6" s="44" t="n">
        <x:v>104.32757698155008</x:v>
      </x:c>
      <x:c r="C6" s="44" t="n">
        <x:v>104.27917052237643</x:v>
      </x:c>
      <x:c r="D6" s="44" t="n">
        <x:v>0.7932757698155009</x:v>
      </x:c>
      <x:c r="E6" s="44" t="n">
        <x:v>0.7927917052237643</x:v>
      </x:c>
      <x:c r="F6" s="44" t="n">
        <x:v>30.23786330040544</x:v>
      </x:c>
      <x:c r="G6" s="44" t="n">
        <x:v>30.104301039309064</x:v>
      </x:c>
      <x:c r="H6" s="44" t="n">
        <x:v>10111.861347163594</x:v>
      </x:c>
      <x:c r="I6" s="44" t="n">
        <x:v>10113.383414296544</x:v>
      </x:c>
      <x:c r="J6" s="44" t="n">
        <x:v>0.04718868628676345</x:v>
      </x:c>
      <x:c r="K6" s="44" t="n">
        <x:v>0.04719578926671721</x:v>
      </x:c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  <x:c r="AA6" s="44"/>
      <x:c r="AB6" s="44"/>
      <x:c r="AC6" s="44"/>
      <x:c r="AD6" s="44"/>
      <x:c r="AE6" s="44"/>
      <x:c r="AF6" s="44"/>
      <x:c r="AG6" s="44"/>
      <x:c r="AH6" s="44"/>
      <x:c r="AI6" s="44"/>
      <x:c r="AJ6" s="44"/>
      <x:c r="AK6" s="44"/>
      <x:c r="AL6" s="44"/>
      <x:c r="AM6" s="44"/>
      <x:c r="AN6" s="44"/>
      <x:c r="AO6" s="44"/>
      <x:c r="AP6" s="44"/>
      <x:c r="AQ6" s="44"/>
      <x:c r="AR6" s="44"/>
      <x:c r="AS6" s="44"/>
      <x:c r="AT6" s="44"/>
      <x:c r="AU6" s="44"/>
      <x:c r="AV6" s="44"/>
      <x:c r="AW6" s="44"/>
      <x:c r="AX6" s="44"/>
      <x:c r="AY6" s="44"/>
      <x:c r="AZ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  <x:c r="AA7" s="44"/>
      <x:c r="AB7" s="44"/>
      <x:c r="AC7" s="44"/>
      <x:c r="AD7" s="44"/>
      <x:c r="AE7" s="44"/>
      <x:c r="AF7" s="44"/>
      <x:c r="AG7" s="44"/>
      <x:c r="AH7" s="44"/>
      <x:c r="AI7" s="44"/>
      <x:c r="AJ7" s="44"/>
      <x:c r="AK7" s="44"/>
      <x:c r="AL7" s="44"/>
      <x:c r="AM7" s="44"/>
      <x:c r="AN7" s="44"/>
      <x:c r="AO7" s="44"/>
      <x:c r="AP7" s="44"/>
      <x:c r="AQ7" s="44"/>
      <x:c r="AR7" s="44"/>
      <x:c r="AS7" s="44"/>
      <x:c r="AT7" s="44"/>
      <x:c r="AU7" s="44"/>
      <x:c r="AV7" s="44"/>
      <x:c r="AW7" s="44"/>
      <x:c r="AX7" s="44"/>
      <x:c r="AY7" s="44"/>
      <x:c r="AZ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  <x:c r="AA8" s="44"/>
      <x:c r="AB8" s="44"/>
      <x:c r="AC8" s="44"/>
      <x:c r="AD8" s="44"/>
      <x:c r="AE8" s="44"/>
      <x:c r="AF8" s="44"/>
      <x:c r="AG8" s="44"/>
      <x:c r="AH8" s="44"/>
      <x:c r="AI8" s="44"/>
      <x:c r="AJ8" s="44"/>
      <x:c r="AK8" s="44"/>
      <x:c r="AL8" s="44"/>
      <x:c r="AM8" s="44"/>
      <x:c r="AN8" s="44"/>
      <x:c r="AO8" s="44"/>
      <x:c r="AP8" s="44"/>
      <x:c r="AQ8" s="44"/>
      <x:c r="AR8" s="44"/>
      <x:c r="AS8" s="44"/>
      <x:c r="AT8" s="44"/>
      <x:c r="AU8" s="44"/>
      <x:c r="AV8" s="44"/>
      <x:c r="AW8" s="44"/>
      <x:c r="AX8" s="44"/>
      <x:c r="AY8" s="44"/>
      <x:c r="A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  <x:c r="AA9" s="44"/>
      <x:c r="AB9" s="44"/>
      <x:c r="AC9" s="44"/>
      <x:c r="AD9" s="44"/>
      <x:c r="AE9" s="44"/>
      <x:c r="AF9" s="44"/>
      <x:c r="AG9" s="44"/>
      <x:c r="AH9" s="44"/>
      <x:c r="AI9" s="44"/>
      <x:c r="AJ9" s="44"/>
      <x:c r="AK9" s="44"/>
      <x:c r="AL9" s="44"/>
      <x:c r="AM9" s="44"/>
      <x:c r="AN9" s="44"/>
      <x:c r="AO9" s="44"/>
      <x:c r="AP9" s="44"/>
      <x:c r="AQ9" s="44"/>
      <x:c r="AR9" s="44"/>
      <x:c r="AS9" s="44"/>
      <x:c r="AT9" s="44"/>
      <x:c r="AU9" s="44"/>
      <x:c r="AV9" s="44"/>
      <x:c r="AW9" s="44"/>
      <x:c r="AX9" s="44"/>
      <x:c r="AY9" s="44"/>
      <x:c r="A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  <x:c r="AA10" s="44"/>
      <x:c r="AB10" s="44"/>
      <x:c r="AC10" s="44"/>
      <x:c r="AD10" s="44"/>
      <x:c r="AE10" s="44"/>
      <x:c r="AF10" s="44"/>
      <x:c r="AG10" s="44"/>
      <x:c r="AH10" s="44"/>
      <x:c r="AI10" s="44"/>
      <x:c r="AJ10" s="44"/>
      <x:c r="AK10" s="44"/>
      <x:c r="AL10" s="44"/>
      <x:c r="AM10" s="44"/>
      <x:c r="AN10" s="44"/>
      <x:c r="AO10" s="44"/>
      <x:c r="AP10" s="44"/>
      <x:c r="AQ10" s="44"/>
      <x:c r="AR10" s="44"/>
      <x:c r="AS10" s="44"/>
      <x:c r="AT10" s="44"/>
      <x:c r="AU10" s="44"/>
      <x:c r="AV10" s="44"/>
      <x:c r="AW10" s="44"/>
      <x:c r="AX10" s="44"/>
      <x:c r="AY10" s="44"/>
      <x:c r="A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  <x:c r="AA11" s="44"/>
      <x:c r="AB11" s="44"/>
      <x:c r="AC11" s="44"/>
      <x:c r="AD11" s="44"/>
      <x:c r="AE11" s="44"/>
      <x:c r="AF11" s="44"/>
      <x:c r="AG11" s="44"/>
      <x:c r="AH11" s="44"/>
      <x:c r="AI11" s="44"/>
      <x:c r="AJ11" s="44"/>
      <x:c r="AK11" s="44"/>
      <x:c r="AL11" s="44"/>
      <x:c r="AM11" s="44"/>
      <x:c r="AN11" s="44"/>
      <x:c r="AO11" s="44"/>
      <x:c r="AP11" s="44"/>
      <x:c r="AQ11" s="44"/>
      <x:c r="AR11" s="44"/>
      <x:c r="AS11" s="44"/>
      <x:c r="AT11" s="44"/>
      <x:c r="AU11" s="44"/>
      <x:c r="AV11" s="44"/>
      <x:c r="AW11" s="44"/>
      <x:c r="AX11" s="44"/>
      <x:c r="AY11" s="44"/>
      <x:c r="A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  <x:c r="AA12" s="44"/>
      <x:c r="AB12" s="44"/>
      <x:c r="AC12" s="44"/>
      <x:c r="AD12" s="44"/>
      <x:c r="AE12" s="44"/>
      <x:c r="AF12" s="44"/>
      <x:c r="AG12" s="44"/>
      <x:c r="AH12" s="44"/>
      <x:c r="AI12" s="44"/>
      <x:c r="AJ12" s="44"/>
      <x:c r="AK12" s="44"/>
      <x:c r="AL12" s="44"/>
      <x:c r="AM12" s="44"/>
      <x:c r="AN12" s="44"/>
      <x:c r="AO12" s="44"/>
      <x:c r="AP12" s="44"/>
      <x:c r="AQ12" s="44"/>
      <x:c r="AR12" s="44"/>
      <x:c r="AS12" s="44"/>
      <x:c r="AT12" s="44"/>
      <x:c r="AU12" s="44"/>
      <x:c r="AV12" s="44"/>
      <x:c r="AW12" s="44"/>
      <x:c r="AX12" s="44"/>
      <x:c r="AY12" s="44"/>
      <x:c r="A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  <x:c r="AR13" s="44"/>
      <x:c r="AS13" s="44"/>
      <x:c r="AT13" s="44"/>
      <x:c r="AU13" s="44"/>
      <x:c r="AV13" s="44"/>
      <x:c r="AW13" s="44"/>
      <x:c r="AX13" s="44"/>
      <x:c r="AY13" s="44"/>
      <x:c r="A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  <x:c r="AA14" s="44"/>
      <x:c r="AB14" s="44"/>
      <x:c r="AC14" s="44"/>
      <x:c r="AD14" s="44"/>
      <x:c r="AE14" s="44"/>
      <x:c r="AF14" s="44"/>
      <x:c r="AG14" s="44"/>
      <x:c r="AH14" s="44"/>
      <x:c r="AI14" s="44"/>
      <x:c r="AJ14" s="44"/>
      <x:c r="AK14" s="44"/>
      <x:c r="AL14" s="44"/>
      <x:c r="AM14" s="44"/>
      <x:c r="AN14" s="44"/>
      <x:c r="AO14" s="44"/>
      <x:c r="AP14" s="44"/>
      <x:c r="AQ14" s="44"/>
      <x:c r="AR14" s="44"/>
      <x:c r="AS14" s="44"/>
      <x:c r="AT14" s="44"/>
      <x:c r="AU14" s="44"/>
      <x:c r="AV14" s="44"/>
      <x:c r="AW14" s="44"/>
      <x:c r="AX14" s="44"/>
      <x:c r="AY14" s="44"/>
      <x:c r="A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  <x:c r="AA15" s="44"/>
      <x:c r="AB15" s="44"/>
      <x:c r="AC15" s="44"/>
      <x:c r="AD15" s="44"/>
      <x:c r="AE15" s="44"/>
      <x:c r="AF15" s="44"/>
      <x:c r="AG15" s="44"/>
      <x:c r="AH15" s="44"/>
      <x:c r="AI15" s="44"/>
      <x:c r="AJ15" s="44"/>
      <x:c r="AK15" s="44"/>
      <x:c r="AL15" s="44"/>
      <x:c r="AM15" s="44"/>
      <x:c r="AN15" s="44"/>
      <x:c r="AO15" s="44"/>
      <x:c r="AP15" s="44"/>
      <x:c r="AQ15" s="44"/>
      <x:c r="AR15" s="44"/>
      <x:c r="AS15" s="44"/>
      <x:c r="AT15" s="44"/>
      <x:c r="AU15" s="44"/>
      <x:c r="AV15" s="44"/>
      <x:c r="AW15" s="44"/>
      <x:c r="AX15" s="44"/>
      <x:c r="AY15" s="44"/>
      <x:c r="A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  <x:c r="AA16" s="44"/>
      <x:c r="AB16" s="44"/>
      <x:c r="AC16" s="44"/>
      <x:c r="AD16" s="44"/>
      <x:c r="AE16" s="44"/>
      <x:c r="AF16" s="44"/>
      <x:c r="AG16" s="44"/>
      <x:c r="AH16" s="44"/>
      <x:c r="AI16" s="44"/>
      <x:c r="AJ16" s="44"/>
      <x:c r="AK16" s="44"/>
      <x:c r="AL16" s="44"/>
      <x:c r="AM16" s="44"/>
      <x:c r="AN16" s="44"/>
      <x:c r="AO16" s="44"/>
      <x:c r="AP16" s="44"/>
      <x:c r="AQ16" s="44"/>
      <x:c r="AR16" s="44"/>
      <x:c r="AS16" s="44"/>
      <x:c r="AT16" s="44"/>
      <x:c r="AU16" s="44"/>
      <x:c r="AV16" s="44"/>
      <x:c r="AW16" s="44"/>
      <x:c r="AX16" s="44"/>
      <x:c r="AY16" s="44"/>
      <x:c r="A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  <x:c r="AA17" s="44"/>
      <x:c r="AB17" s="44"/>
      <x:c r="AC17" s="44"/>
      <x:c r="AD17" s="44"/>
      <x:c r="AE17" s="44"/>
      <x:c r="AF17" s="44"/>
      <x:c r="AG17" s="44"/>
      <x:c r="AH17" s="44"/>
      <x:c r="AI17" s="44"/>
      <x:c r="AJ17" s="44"/>
      <x:c r="AK17" s="44"/>
      <x:c r="AL17" s="44"/>
      <x:c r="AM17" s="44"/>
      <x:c r="AN17" s="44"/>
      <x:c r="AO17" s="44"/>
      <x:c r="AP17" s="44"/>
      <x:c r="AQ17" s="44"/>
      <x:c r="AR17" s="44"/>
      <x:c r="AS17" s="44"/>
      <x:c r="AT17" s="44"/>
      <x:c r="AU17" s="44"/>
      <x:c r="AV17" s="44"/>
      <x:c r="AW17" s="44"/>
      <x:c r="AX17" s="44"/>
      <x:c r="AY17" s="44"/>
      <x:c r="A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  <x:c r="AA18" s="44"/>
      <x:c r="AB18" s="44"/>
      <x:c r="AC18" s="44"/>
      <x:c r="AD18" s="44"/>
      <x:c r="AE18" s="44"/>
      <x:c r="AF18" s="44"/>
      <x:c r="AG18" s="44"/>
      <x:c r="AH18" s="44"/>
      <x:c r="AI18" s="44"/>
      <x:c r="AJ18" s="44"/>
      <x:c r="AK18" s="44"/>
      <x:c r="AL18" s="44"/>
      <x:c r="AM18" s="44"/>
      <x:c r="AN18" s="44"/>
      <x:c r="AO18" s="44"/>
      <x:c r="AP18" s="44"/>
      <x:c r="AQ18" s="44"/>
      <x:c r="AR18" s="44"/>
      <x:c r="AS18" s="44"/>
      <x:c r="AT18" s="44"/>
      <x:c r="AU18" s="44"/>
      <x:c r="AV18" s="44"/>
      <x:c r="AW18" s="44"/>
      <x:c r="AX18" s="44"/>
      <x:c r="AY18" s="44"/>
      <x:c r="A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  <x:c r="AA19" s="44"/>
      <x:c r="AB19" s="44"/>
      <x:c r="AC19" s="44"/>
      <x:c r="AD19" s="44"/>
      <x:c r="AE19" s="44"/>
      <x:c r="AF19" s="44"/>
      <x:c r="AG19" s="44"/>
      <x:c r="AH19" s="44"/>
      <x:c r="AI19" s="44"/>
      <x:c r="AJ19" s="44"/>
      <x:c r="AK19" s="44"/>
      <x:c r="AL19" s="44"/>
      <x:c r="AM19" s="44"/>
      <x:c r="AN19" s="44"/>
      <x:c r="AO19" s="44"/>
      <x:c r="AP19" s="44"/>
      <x:c r="AQ19" s="44"/>
      <x:c r="AR19" s="44"/>
      <x:c r="AS19" s="44"/>
      <x:c r="AT19" s="44"/>
      <x:c r="AU19" s="44"/>
      <x:c r="AV19" s="44"/>
      <x:c r="AW19" s="44"/>
      <x:c r="AX19" s="44"/>
      <x:c r="AY19" s="44"/>
      <x:c r="A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  <x:c r="AR20" s="44"/>
      <x:c r="AS20" s="44"/>
      <x:c r="AT20" s="44"/>
      <x:c r="AU20" s="44"/>
      <x:c r="AV20" s="44"/>
      <x:c r="AW20" s="44"/>
      <x:c r="AX20" s="44"/>
      <x:c r="AY20" s="44"/>
      <x:c r="A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  <x:c r="AA21" s="44"/>
      <x:c r="AB21" s="44"/>
      <x:c r="AC21" s="44"/>
      <x:c r="AD21" s="44"/>
      <x:c r="AE21" s="44"/>
      <x:c r="AF21" s="44"/>
      <x:c r="AG21" s="44"/>
      <x:c r="AH21" s="44"/>
      <x:c r="AI21" s="44"/>
      <x:c r="AJ21" s="44"/>
      <x:c r="AK21" s="44"/>
      <x:c r="AL21" s="44"/>
      <x:c r="AM21" s="44"/>
      <x:c r="AN21" s="44"/>
      <x:c r="AO21" s="44"/>
      <x:c r="AP21" s="44"/>
      <x:c r="AQ21" s="44"/>
      <x:c r="AR21" s="44"/>
      <x:c r="AS21" s="44"/>
      <x:c r="AT21" s="44"/>
      <x:c r="AU21" s="44"/>
      <x:c r="AV21" s="44"/>
      <x:c r="AW21" s="44"/>
      <x:c r="AX21" s="44"/>
      <x:c r="AY21" s="44"/>
      <x:c r="A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  <x:c r="AA22" s="44"/>
      <x:c r="AB22" s="44"/>
      <x:c r="AC22" s="44"/>
      <x:c r="AD22" s="44"/>
      <x:c r="AE22" s="44"/>
      <x:c r="AF22" s="44"/>
      <x:c r="AG22" s="44"/>
      <x:c r="AH22" s="44"/>
      <x:c r="AI22" s="44"/>
      <x:c r="AJ22" s="44"/>
      <x:c r="AK22" s="44"/>
      <x:c r="AL22" s="44"/>
      <x:c r="AM22" s="44"/>
      <x:c r="AN22" s="44"/>
      <x:c r="AO22" s="44"/>
      <x:c r="AP22" s="44"/>
      <x:c r="AQ22" s="44"/>
      <x:c r="AR22" s="44"/>
      <x:c r="AS22" s="44"/>
      <x:c r="AT22" s="44"/>
      <x:c r="AU22" s="44"/>
      <x:c r="AV22" s="44"/>
      <x:c r="AW22" s="44"/>
      <x:c r="AX22" s="44"/>
      <x:c r="AY22" s="44"/>
      <x:c r="A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  <x:c r="AA23" s="44"/>
      <x:c r="AB23" s="44"/>
      <x:c r="AC23" s="44"/>
      <x:c r="AD23" s="44"/>
      <x:c r="AE23" s="44"/>
      <x:c r="AF23" s="44"/>
      <x:c r="AG23" s="44"/>
      <x:c r="AH23" s="44"/>
      <x:c r="AI23" s="44"/>
      <x:c r="AJ23" s="44"/>
      <x:c r="AK23" s="44"/>
      <x:c r="AL23" s="44"/>
      <x:c r="AM23" s="44"/>
      <x:c r="AN23" s="44"/>
      <x:c r="AO23" s="44"/>
      <x:c r="AP23" s="44"/>
      <x:c r="AQ23" s="44"/>
      <x:c r="AR23" s="44"/>
      <x:c r="AS23" s="44"/>
      <x:c r="AT23" s="44"/>
      <x:c r="AU23" s="44"/>
      <x:c r="AV23" s="44"/>
      <x:c r="AW23" s="44"/>
      <x:c r="AX23" s="44"/>
      <x:c r="AY23" s="44"/>
      <x:c r="A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  <x:c r="AA24" s="44"/>
      <x:c r="AB24" s="44"/>
      <x:c r="AC24" s="44"/>
      <x:c r="AD24" s="44"/>
      <x:c r="AE24" s="44"/>
      <x:c r="AF24" s="44"/>
      <x:c r="AG24" s="44"/>
      <x:c r="AH24" s="44"/>
      <x:c r="AI24" s="44"/>
      <x:c r="AJ24" s="44"/>
      <x:c r="AK24" s="44"/>
      <x:c r="AL24" s="44"/>
      <x:c r="AM24" s="44"/>
      <x:c r="AN24" s="44"/>
      <x:c r="AO24" s="44"/>
      <x:c r="AP24" s="44"/>
      <x:c r="AQ24" s="44"/>
      <x:c r="AR24" s="44"/>
      <x:c r="AS24" s="44"/>
      <x:c r="AT24" s="44"/>
      <x:c r="AU24" s="44"/>
      <x:c r="AV24" s="44"/>
      <x:c r="AW24" s="44"/>
      <x:c r="AX24" s="44"/>
      <x:c r="AY24" s="44"/>
      <x:c r="A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  <x:c r="AA25" s="44"/>
      <x:c r="AB25" s="44"/>
      <x:c r="AC25" s="44"/>
      <x:c r="AD25" s="44"/>
      <x:c r="AE25" s="44"/>
      <x:c r="AF25" s="44"/>
      <x:c r="AG25" s="44"/>
      <x:c r="AH25" s="44"/>
      <x:c r="AI25" s="44"/>
      <x:c r="AJ25" s="44"/>
      <x:c r="AK25" s="44"/>
      <x:c r="AL25" s="44"/>
      <x:c r="AM25" s="44"/>
      <x:c r="AN25" s="44"/>
      <x:c r="AO25" s="44"/>
      <x:c r="AP25" s="44"/>
      <x:c r="AQ25" s="44"/>
      <x:c r="AR25" s="44"/>
      <x:c r="AS25" s="44"/>
      <x:c r="AT25" s="44"/>
      <x:c r="AU25" s="44"/>
      <x:c r="AV25" s="44"/>
      <x:c r="AW25" s="44"/>
      <x:c r="AX25" s="44"/>
      <x:c r="AY25" s="44"/>
      <x:c r="A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  <x:c r="AA26" s="44"/>
      <x:c r="AB26" s="44"/>
      <x:c r="AC26" s="44"/>
      <x:c r="AD26" s="44"/>
      <x:c r="AE26" s="44"/>
      <x:c r="AF26" s="44"/>
      <x:c r="AG26" s="44"/>
      <x:c r="AH26" s="44"/>
      <x:c r="AI26" s="44"/>
      <x:c r="AJ26" s="44"/>
      <x:c r="AK26" s="44"/>
      <x:c r="AL26" s="44"/>
      <x:c r="AM26" s="44"/>
      <x:c r="AN26" s="44"/>
      <x:c r="AO26" s="44"/>
      <x:c r="AP26" s="44"/>
      <x:c r="AQ26" s="44"/>
      <x:c r="AR26" s="44"/>
      <x:c r="AS26" s="44"/>
      <x:c r="AT26" s="44"/>
      <x:c r="AU26" s="44"/>
      <x:c r="AV26" s="44"/>
      <x:c r="AW26" s="44"/>
      <x:c r="AX26" s="44"/>
      <x:c r="AY26" s="44"/>
      <x:c r="A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  <x:c r="AA27" s="44"/>
      <x:c r="AB27" s="44"/>
      <x:c r="AC27" s="44"/>
      <x:c r="AD27" s="44"/>
      <x:c r="AE27" s="44"/>
      <x:c r="AF27" s="44"/>
      <x:c r="AG27" s="44"/>
      <x:c r="AH27" s="44"/>
      <x:c r="AI27" s="44"/>
      <x:c r="AJ27" s="44"/>
      <x:c r="AK27" s="44"/>
      <x:c r="AL27" s="44"/>
      <x:c r="AM27" s="44"/>
      <x:c r="AN27" s="44"/>
      <x:c r="AO27" s="44"/>
      <x:c r="AP27" s="44"/>
      <x:c r="AQ27" s="44"/>
      <x:c r="AR27" s="44"/>
      <x:c r="AS27" s="44"/>
      <x:c r="AT27" s="44"/>
      <x:c r="AU27" s="44"/>
      <x:c r="AV27" s="44"/>
      <x:c r="AW27" s="44"/>
      <x:c r="AX27" s="44"/>
      <x:c r="AY27" s="44"/>
      <x:c r="A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  <x:c r="AA28" s="44"/>
      <x:c r="AB28" s="44"/>
      <x:c r="AC28" s="44"/>
      <x:c r="AD28" s="44"/>
      <x:c r="AE28" s="44"/>
      <x:c r="AF28" s="44"/>
      <x:c r="AG28" s="44"/>
      <x:c r="AH28" s="44"/>
      <x:c r="AI28" s="44"/>
      <x:c r="AJ28" s="44"/>
      <x:c r="AK28" s="44"/>
      <x:c r="AL28" s="44"/>
      <x:c r="AM28" s="44"/>
      <x:c r="AN28" s="44"/>
      <x:c r="AO28" s="44"/>
      <x:c r="AP28" s="44"/>
      <x:c r="AQ28" s="44"/>
      <x:c r="AR28" s="44"/>
      <x:c r="AS28" s="44"/>
      <x:c r="AT28" s="44"/>
      <x:c r="AU28" s="44"/>
      <x:c r="AV28" s="44"/>
      <x:c r="AW28" s="44"/>
      <x:c r="AX28" s="44"/>
      <x:c r="AY28" s="44"/>
      <x:c r="A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  <x:c r="AA29" s="44"/>
      <x:c r="AB29" s="44"/>
      <x:c r="AC29" s="44"/>
      <x:c r="AD29" s="44"/>
      <x:c r="AE29" s="44"/>
      <x:c r="AF29" s="44"/>
      <x:c r="AG29" s="44"/>
      <x:c r="AH29" s="44"/>
      <x:c r="AI29" s="44"/>
      <x:c r="AJ29" s="44"/>
      <x:c r="AK29" s="44"/>
      <x:c r="AL29" s="44"/>
      <x:c r="AM29" s="44"/>
      <x:c r="AN29" s="44"/>
      <x:c r="AO29" s="44"/>
      <x:c r="AP29" s="44"/>
      <x:c r="AQ29" s="44"/>
      <x:c r="AR29" s="44"/>
      <x:c r="AS29" s="44"/>
      <x:c r="AT29" s="44"/>
      <x:c r="AU29" s="44"/>
      <x:c r="AV29" s="44"/>
      <x:c r="AW29" s="44"/>
      <x:c r="AX29" s="44"/>
      <x:c r="AY29" s="44"/>
      <x:c r="A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  <x:c r="AA30" s="44"/>
      <x:c r="AB30" s="44"/>
      <x:c r="AC30" s="44"/>
      <x:c r="AD30" s="44"/>
      <x:c r="AE30" s="44"/>
      <x:c r="AF30" s="44"/>
      <x:c r="AG30" s="44"/>
      <x:c r="AH30" s="44"/>
      <x:c r="AI30" s="44"/>
      <x:c r="AJ30" s="44"/>
      <x:c r="AK30" s="44"/>
      <x:c r="AL30" s="44"/>
      <x:c r="AM30" s="44"/>
      <x:c r="AN30" s="44"/>
      <x:c r="AO30" s="44"/>
      <x:c r="AP30" s="44"/>
      <x:c r="AQ30" s="44"/>
      <x:c r="AR30" s="44"/>
      <x:c r="AS30" s="44"/>
      <x:c r="AT30" s="44"/>
      <x:c r="AU30" s="44"/>
      <x:c r="AV30" s="44"/>
      <x:c r="AW30" s="44"/>
      <x:c r="AX30" s="44"/>
      <x:c r="AY30" s="44"/>
      <x:c r="A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  <x:c r="AA31" s="44"/>
      <x:c r="AB31" s="44"/>
      <x:c r="AC31" s="44"/>
      <x:c r="AD31" s="44"/>
      <x:c r="AE31" s="44"/>
      <x:c r="AF31" s="44"/>
      <x:c r="AG31" s="44"/>
      <x:c r="AH31" s="44"/>
      <x:c r="AI31" s="44"/>
      <x:c r="AJ31" s="44"/>
      <x:c r="AK31" s="44"/>
      <x:c r="AL31" s="44"/>
      <x:c r="AM31" s="44"/>
      <x:c r="AN31" s="44"/>
      <x:c r="AO31" s="44"/>
      <x:c r="AP31" s="44"/>
      <x:c r="AQ31" s="44"/>
      <x:c r="AR31" s="44"/>
      <x:c r="AS31" s="44"/>
      <x:c r="AT31" s="44"/>
      <x:c r="AU31" s="44"/>
      <x:c r="AV31" s="44"/>
      <x:c r="AW31" s="44"/>
      <x:c r="AX31" s="44"/>
      <x:c r="AY31" s="44"/>
      <x:c r="A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  <x:c r="AA32" s="44"/>
      <x:c r="AB32" s="44"/>
      <x:c r="AC32" s="44"/>
      <x:c r="AD32" s="44"/>
      <x:c r="AE32" s="44"/>
      <x:c r="AF32" s="44"/>
      <x:c r="AG32" s="44"/>
      <x:c r="AH32" s="44"/>
      <x:c r="AI32" s="44"/>
      <x:c r="AJ32" s="44"/>
      <x:c r="AK32" s="44"/>
      <x:c r="AL32" s="44"/>
      <x:c r="AM32" s="44"/>
      <x:c r="AN32" s="44"/>
      <x:c r="AO32" s="44"/>
      <x:c r="AP32" s="44"/>
      <x:c r="AQ32" s="44"/>
      <x:c r="AR32" s="44"/>
      <x:c r="AS32" s="44"/>
      <x:c r="AT32" s="44"/>
      <x:c r="AU32" s="44"/>
      <x:c r="AV32" s="44"/>
      <x:c r="AW32" s="44"/>
      <x:c r="AX32" s="44"/>
      <x:c r="AY32" s="44"/>
      <x:c r="A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  <x:c r="AA33" s="44"/>
      <x:c r="AB33" s="44"/>
      <x:c r="AC33" s="44"/>
      <x:c r="AD33" s="44"/>
      <x:c r="AE33" s="44"/>
      <x:c r="AF33" s="44"/>
      <x:c r="AG33" s="44"/>
      <x:c r="AH33" s="44"/>
      <x:c r="AI33" s="44"/>
      <x:c r="AJ33" s="44"/>
      <x:c r="AK33" s="44"/>
      <x:c r="AL33" s="44"/>
      <x:c r="AM33" s="44"/>
      <x:c r="AN33" s="44"/>
      <x:c r="AO33" s="44"/>
      <x:c r="AP33" s="44"/>
      <x:c r="AQ33" s="44"/>
      <x:c r="AR33" s="44"/>
      <x:c r="AS33" s="44"/>
      <x:c r="AT33" s="44"/>
      <x:c r="AU33" s="44"/>
      <x:c r="AV33" s="44"/>
      <x:c r="AW33" s="44"/>
      <x:c r="AX33" s="44"/>
      <x:c r="AY33" s="44"/>
      <x:c r="A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  <x:c r="AA34" s="44"/>
      <x:c r="AB34" s="44"/>
      <x:c r="AC34" s="44"/>
      <x:c r="AD34" s="44"/>
      <x:c r="AE34" s="44"/>
      <x:c r="AF34" s="44"/>
      <x:c r="AG34" s="44"/>
      <x:c r="AH34" s="44"/>
      <x:c r="AI34" s="44"/>
      <x:c r="AJ34" s="44"/>
      <x:c r="AK34" s="44"/>
      <x:c r="AL34" s="44"/>
      <x:c r="AM34" s="44"/>
      <x:c r="AN34" s="44"/>
      <x:c r="AO34" s="44"/>
      <x:c r="AP34" s="44"/>
      <x:c r="AQ34" s="44"/>
      <x:c r="AR34" s="44"/>
      <x:c r="AS34" s="44"/>
      <x:c r="AT34" s="44"/>
      <x:c r="AU34" s="44"/>
      <x:c r="AV34" s="44"/>
      <x:c r="AW34" s="44"/>
      <x:c r="AX34" s="44"/>
      <x:c r="AY34" s="44"/>
      <x:c r="A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  <x:c r="AA35" s="44"/>
      <x:c r="AB35" s="44"/>
      <x:c r="AC35" s="44"/>
      <x:c r="AD35" s="44"/>
      <x:c r="AE35" s="44"/>
      <x:c r="AF35" s="44"/>
      <x:c r="AG35" s="44"/>
      <x:c r="AH35" s="44"/>
      <x:c r="AI35" s="44"/>
      <x:c r="AJ35" s="44"/>
      <x:c r="AK35" s="44"/>
      <x:c r="AL35" s="44"/>
      <x:c r="AM35" s="44"/>
      <x:c r="AN35" s="44"/>
      <x:c r="AO35" s="44"/>
      <x:c r="AP35" s="44"/>
      <x:c r="AQ35" s="44"/>
      <x:c r="AR35" s="44"/>
      <x:c r="AS35" s="44"/>
      <x:c r="AT35" s="44"/>
      <x:c r="AU35" s="44"/>
      <x:c r="AV35" s="44"/>
      <x:c r="AW35" s="44"/>
      <x:c r="AX35" s="44"/>
      <x:c r="AY35" s="44"/>
      <x:c r="A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  <x:c r="AA36" s="44"/>
      <x:c r="AB36" s="44"/>
      <x:c r="AC36" s="44"/>
      <x:c r="AD36" s="44"/>
      <x:c r="AE36" s="44"/>
      <x:c r="AF36" s="44"/>
      <x:c r="AG36" s="44"/>
      <x:c r="AH36" s="44"/>
      <x:c r="AI36" s="44"/>
      <x:c r="AJ36" s="44"/>
      <x:c r="AK36" s="44"/>
      <x:c r="AL36" s="44"/>
      <x:c r="AM36" s="44"/>
      <x:c r="AN36" s="44"/>
      <x:c r="AO36" s="44"/>
      <x:c r="AP36" s="44"/>
      <x:c r="AQ36" s="44"/>
      <x:c r="AR36" s="44"/>
      <x:c r="AS36" s="44"/>
      <x:c r="AT36" s="44"/>
      <x:c r="AU36" s="44"/>
      <x:c r="AV36" s="44"/>
      <x:c r="AW36" s="44"/>
      <x:c r="AX36" s="44"/>
      <x:c r="AY36" s="44"/>
      <x:c r="A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  <x:c r="AA37" s="44"/>
      <x:c r="AB37" s="44"/>
      <x:c r="AC37" s="44"/>
      <x:c r="AD37" s="44"/>
      <x:c r="AE37" s="44"/>
      <x:c r="AF37" s="44"/>
      <x:c r="AG37" s="44"/>
      <x:c r="AH37" s="44"/>
      <x:c r="AI37" s="44"/>
      <x:c r="AJ37" s="44"/>
      <x:c r="AK37" s="44"/>
      <x:c r="AL37" s="44"/>
      <x:c r="AM37" s="44"/>
      <x:c r="AN37" s="44"/>
      <x:c r="AO37" s="44"/>
      <x:c r="AP37" s="44"/>
      <x:c r="AQ37" s="44"/>
      <x:c r="AR37" s="44"/>
      <x:c r="AS37" s="44"/>
      <x:c r="AT37" s="44"/>
      <x:c r="AU37" s="44"/>
      <x:c r="AV37" s="44"/>
      <x:c r="AW37" s="44"/>
      <x:c r="AX37" s="44"/>
      <x:c r="AY37" s="44"/>
      <x:c r="A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  <x:c r="AA38" s="44"/>
      <x:c r="AB38" s="44"/>
      <x:c r="AC38" s="44"/>
      <x:c r="AD38" s="44"/>
      <x:c r="AE38" s="44"/>
      <x:c r="AF38" s="44"/>
      <x:c r="AG38" s="44"/>
      <x:c r="AH38" s="44"/>
      <x:c r="AI38" s="44"/>
      <x:c r="AJ38" s="44"/>
      <x:c r="AK38" s="44"/>
      <x:c r="AL38" s="44"/>
      <x:c r="AM38" s="44"/>
      <x:c r="AN38" s="44"/>
      <x:c r="AO38" s="44"/>
      <x:c r="AP38" s="44"/>
      <x:c r="AQ38" s="44"/>
      <x:c r="AR38" s="44"/>
      <x:c r="AS38" s="44"/>
      <x:c r="AT38" s="44"/>
      <x:c r="AU38" s="44"/>
      <x:c r="AV38" s="44"/>
      <x:c r="AW38" s="44"/>
      <x:c r="AX38" s="44"/>
      <x:c r="AY38" s="44"/>
      <x:c r="A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  <x:c r="AA39" s="44"/>
      <x:c r="AB39" s="44"/>
      <x:c r="AC39" s="44"/>
      <x:c r="AD39" s="44"/>
      <x:c r="AE39" s="44"/>
      <x:c r="AF39" s="44"/>
      <x:c r="AG39" s="44"/>
      <x:c r="AH39" s="44"/>
      <x:c r="AI39" s="44"/>
      <x:c r="AJ39" s="44"/>
      <x:c r="AK39" s="44"/>
      <x:c r="AL39" s="44"/>
      <x:c r="AM39" s="44"/>
      <x:c r="AN39" s="44"/>
      <x:c r="AO39" s="44"/>
      <x:c r="AP39" s="44"/>
      <x:c r="AQ39" s="44"/>
      <x:c r="AR39" s="44"/>
      <x:c r="AS39" s="44"/>
      <x:c r="AT39" s="44"/>
      <x:c r="AU39" s="44"/>
      <x:c r="AV39" s="44"/>
      <x:c r="AW39" s="44"/>
      <x:c r="AX39" s="44"/>
      <x:c r="AY39" s="44"/>
      <x:c r="A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  <x:c r="AA40" s="44"/>
      <x:c r="AB40" s="44"/>
      <x:c r="AC40" s="44"/>
      <x:c r="AD40" s="44"/>
      <x:c r="AE40" s="44"/>
      <x:c r="AF40" s="44"/>
      <x:c r="AG40" s="44"/>
      <x:c r="AH40" s="44"/>
      <x:c r="AI40" s="44"/>
      <x:c r="AJ40" s="44"/>
      <x:c r="AK40" s="44"/>
      <x:c r="AL40" s="44"/>
      <x:c r="AM40" s="44"/>
      <x:c r="AN40" s="44"/>
      <x:c r="AO40" s="44"/>
      <x:c r="AP40" s="44"/>
      <x:c r="AQ40" s="44"/>
      <x:c r="AR40" s="44"/>
      <x:c r="AS40" s="44"/>
      <x:c r="AT40" s="44"/>
      <x:c r="AU40" s="44"/>
      <x:c r="AV40" s="44"/>
      <x:c r="AW40" s="44"/>
      <x:c r="AX40" s="44"/>
      <x:c r="AY40" s="44"/>
      <x:c r="A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  <x:c r="AA41" s="44"/>
      <x:c r="AB41" s="44"/>
      <x:c r="AC41" s="44"/>
      <x:c r="AD41" s="44"/>
      <x:c r="AE41" s="44"/>
      <x:c r="AF41" s="44"/>
      <x:c r="AG41" s="44"/>
      <x:c r="AH41" s="44"/>
      <x:c r="AI41" s="44"/>
      <x:c r="AJ41" s="44"/>
      <x:c r="AK41" s="44"/>
      <x:c r="AL41" s="44"/>
      <x:c r="AM41" s="44"/>
      <x:c r="AN41" s="44"/>
      <x:c r="AO41" s="44"/>
      <x:c r="AP41" s="44"/>
      <x:c r="AQ41" s="44"/>
      <x:c r="AR41" s="44"/>
      <x:c r="AS41" s="44"/>
      <x:c r="AT41" s="44"/>
      <x:c r="AU41" s="44"/>
      <x:c r="AV41" s="44"/>
      <x:c r="AW41" s="44"/>
      <x:c r="AX41" s="44"/>
      <x:c r="AY41" s="44"/>
      <x:c r="A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  <x:c r="AA42" s="44"/>
      <x:c r="AB42" s="44"/>
      <x:c r="AC42" s="44"/>
      <x:c r="AD42" s="44"/>
      <x:c r="AE42" s="44"/>
      <x:c r="AF42" s="44"/>
      <x:c r="AG42" s="44"/>
      <x:c r="AH42" s="44"/>
      <x:c r="AI42" s="44"/>
      <x:c r="AJ42" s="44"/>
      <x:c r="AK42" s="44"/>
      <x:c r="AL42" s="44"/>
      <x:c r="AM42" s="44"/>
      <x:c r="AN42" s="44"/>
      <x:c r="AO42" s="44"/>
      <x:c r="AP42" s="44"/>
      <x:c r="AQ42" s="44"/>
      <x:c r="AR42" s="44"/>
      <x:c r="AS42" s="44"/>
      <x:c r="AT42" s="44"/>
      <x:c r="AU42" s="44"/>
      <x:c r="AV42" s="44"/>
      <x:c r="AW42" s="44"/>
      <x:c r="AX42" s="44"/>
      <x:c r="AY42" s="44"/>
      <x:c r="A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  <x:c r="AA43" s="44"/>
      <x:c r="AB43" s="44"/>
      <x:c r="AC43" s="44"/>
      <x:c r="AD43" s="44"/>
      <x:c r="AE43" s="44"/>
      <x:c r="AF43" s="44"/>
      <x:c r="AG43" s="44"/>
      <x:c r="AH43" s="44"/>
      <x:c r="AI43" s="44"/>
      <x:c r="AJ43" s="44"/>
      <x:c r="AK43" s="44"/>
      <x:c r="AL43" s="44"/>
      <x:c r="AM43" s="44"/>
      <x:c r="AN43" s="44"/>
      <x:c r="AO43" s="44"/>
      <x:c r="AP43" s="44"/>
      <x:c r="AQ43" s="44"/>
      <x:c r="AR43" s="44"/>
      <x:c r="AS43" s="44"/>
      <x:c r="AT43" s="44"/>
      <x:c r="AU43" s="44"/>
      <x:c r="AV43" s="44"/>
      <x:c r="AW43" s="44"/>
      <x:c r="AX43" s="44"/>
      <x:c r="AY43" s="44"/>
      <x:c r="A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  <x:c r="AA44" s="44"/>
      <x:c r="AB44" s="44"/>
      <x:c r="AC44" s="44"/>
      <x:c r="AD44" s="44"/>
      <x:c r="AE44" s="44"/>
      <x:c r="AF44" s="44"/>
      <x:c r="AG44" s="44"/>
      <x:c r="AH44" s="44"/>
      <x:c r="AI44" s="44"/>
      <x:c r="AJ44" s="44"/>
      <x:c r="AK44" s="44"/>
      <x:c r="AL44" s="44"/>
      <x:c r="AM44" s="44"/>
      <x:c r="AN44" s="44"/>
      <x:c r="AO44" s="44"/>
      <x:c r="AP44" s="44"/>
      <x:c r="AQ44" s="44"/>
      <x:c r="AR44" s="44"/>
      <x:c r="AS44" s="44"/>
      <x:c r="AT44" s="44"/>
      <x:c r="AU44" s="44"/>
      <x:c r="AV44" s="44"/>
      <x:c r="AW44" s="44"/>
      <x:c r="AX44" s="44"/>
      <x:c r="AY44" s="44"/>
      <x:c r="A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  <x:c r="AA45" s="44"/>
      <x:c r="AB45" s="44"/>
      <x:c r="AC45" s="44"/>
      <x:c r="AD45" s="44"/>
      <x:c r="AE45" s="44"/>
      <x:c r="AF45" s="44"/>
      <x:c r="AG45" s="44"/>
      <x:c r="AH45" s="44"/>
      <x:c r="AI45" s="44"/>
      <x:c r="AJ45" s="44"/>
      <x:c r="AK45" s="44"/>
      <x:c r="AL45" s="44"/>
      <x:c r="AM45" s="44"/>
      <x:c r="AN45" s="44"/>
      <x:c r="AO45" s="44"/>
      <x:c r="AP45" s="44"/>
      <x:c r="AQ45" s="44"/>
      <x:c r="AR45" s="44"/>
      <x:c r="AS45" s="44"/>
      <x:c r="AT45" s="44"/>
      <x:c r="AU45" s="44"/>
      <x:c r="AV45" s="44"/>
      <x:c r="AW45" s="44"/>
      <x:c r="AX45" s="44"/>
      <x:c r="AY45" s="44"/>
      <x:c r="A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  <x:c r="AA46" s="44"/>
      <x:c r="AB46" s="44"/>
      <x:c r="AC46" s="44"/>
      <x:c r="AD46" s="44"/>
      <x:c r="AE46" s="44"/>
      <x:c r="AF46" s="44"/>
      <x:c r="AG46" s="44"/>
      <x:c r="AH46" s="44"/>
      <x:c r="AI46" s="44"/>
      <x:c r="AJ46" s="44"/>
      <x:c r="AK46" s="44"/>
      <x:c r="AL46" s="44"/>
      <x:c r="AM46" s="44"/>
      <x:c r="AN46" s="44"/>
      <x:c r="AO46" s="44"/>
      <x:c r="AP46" s="44"/>
      <x:c r="AQ46" s="44"/>
      <x:c r="AR46" s="44"/>
      <x:c r="AS46" s="44"/>
      <x:c r="AT46" s="44"/>
      <x:c r="AU46" s="44"/>
      <x:c r="AV46" s="44"/>
      <x:c r="AW46" s="44"/>
      <x:c r="AX46" s="44"/>
      <x:c r="AY46" s="44"/>
      <x:c r="A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  <x:c r="AA47" s="44"/>
      <x:c r="AB47" s="44"/>
      <x:c r="AC47" s="44"/>
      <x:c r="AD47" s="44"/>
      <x:c r="AE47" s="44"/>
      <x:c r="AF47" s="44"/>
      <x:c r="AG47" s="44"/>
      <x:c r="AH47" s="44"/>
      <x:c r="AI47" s="44"/>
      <x:c r="AJ47" s="44"/>
      <x:c r="AK47" s="44"/>
      <x:c r="AL47" s="44"/>
      <x:c r="AM47" s="44"/>
      <x:c r="AN47" s="44"/>
      <x:c r="AO47" s="44"/>
      <x:c r="AP47" s="44"/>
      <x:c r="AQ47" s="44"/>
      <x:c r="AR47" s="44"/>
      <x:c r="AS47" s="44"/>
      <x:c r="AT47" s="44"/>
      <x:c r="AU47" s="44"/>
      <x:c r="AV47" s="44"/>
      <x:c r="AW47" s="44"/>
      <x:c r="AX47" s="44"/>
      <x:c r="AY47" s="44"/>
      <x:c r="A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  <x:c r="AA48" s="44"/>
      <x:c r="AB48" s="44"/>
      <x:c r="AC48" s="44"/>
      <x:c r="AD48" s="44"/>
      <x:c r="AE48" s="44"/>
      <x:c r="AF48" s="44"/>
      <x:c r="AG48" s="44"/>
      <x:c r="AH48" s="44"/>
      <x:c r="AI48" s="44"/>
      <x:c r="AJ48" s="44"/>
      <x:c r="AK48" s="44"/>
      <x:c r="AL48" s="44"/>
      <x:c r="AM48" s="44"/>
      <x:c r="AN48" s="44"/>
      <x:c r="AO48" s="44"/>
      <x:c r="AP48" s="44"/>
      <x:c r="AQ48" s="44"/>
      <x:c r="AR48" s="44"/>
      <x:c r="AS48" s="44"/>
      <x:c r="AT48" s="44"/>
      <x:c r="AU48" s="44"/>
      <x:c r="AV48" s="44"/>
      <x:c r="AW48" s="44"/>
      <x:c r="AX48" s="44"/>
      <x:c r="AY48" s="44"/>
      <x:c r="A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  <x:c r="AA49" s="44"/>
      <x:c r="AB49" s="44"/>
      <x:c r="AC49" s="44"/>
      <x:c r="AD49" s="44"/>
      <x:c r="AE49" s="44"/>
      <x:c r="AF49" s="44"/>
      <x:c r="AG49" s="44"/>
      <x:c r="AH49" s="44"/>
      <x:c r="AI49" s="44"/>
      <x:c r="AJ49" s="44"/>
      <x:c r="AK49" s="44"/>
      <x:c r="AL49" s="44"/>
      <x:c r="AM49" s="44"/>
      <x:c r="AN49" s="44"/>
      <x:c r="AO49" s="44"/>
      <x:c r="AP49" s="44"/>
      <x:c r="AQ49" s="44"/>
      <x:c r="AR49" s="44"/>
      <x:c r="AS49" s="44"/>
      <x:c r="AT49" s="44"/>
      <x:c r="AU49" s="44"/>
      <x:c r="AV49" s="44"/>
      <x:c r="AW49" s="44"/>
      <x:c r="AX49" s="44"/>
      <x:c r="AY49" s="44"/>
      <x:c r="A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  <x:c r="AA50" s="44"/>
      <x:c r="AB50" s="44"/>
      <x:c r="AC50" s="44"/>
      <x:c r="AD50" s="44"/>
      <x:c r="AE50" s="44"/>
      <x:c r="AF50" s="44"/>
      <x:c r="AG50" s="44"/>
      <x:c r="AH50" s="44"/>
      <x:c r="AI50" s="44"/>
      <x:c r="AJ50" s="44"/>
      <x:c r="AK50" s="44"/>
      <x:c r="AL50" s="44"/>
      <x:c r="AM50" s="44"/>
      <x:c r="AN50" s="44"/>
      <x:c r="AO50" s="44"/>
      <x:c r="AP50" s="44"/>
      <x:c r="AQ50" s="44"/>
      <x:c r="AR50" s="44"/>
      <x:c r="AS50" s="44"/>
      <x:c r="AT50" s="44"/>
      <x:c r="AU50" s="44"/>
      <x:c r="AV50" s="44"/>
      <x:c r="AW50" s="44"/>
      <x:c r="AX50" s="44"/>
      <x:c r="AY50" s="44"/>
      <x:c r="A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  <x:c r="AA51" s="44"/>
      <x:c r="AB51" s="44"/>
      <x:c r="AC51" s="44"/>
      <x:c r="AD51" s="44"/>
      <x:c r="AE51" s="44"/>
      <x:c r="AF51" s="44"/>
      <x:c r="AG51" s="44"/>
      <x:c r="AH51" s="44"/>
      <x:c r="AI51" s="44"/>
      <x:c r="AJ51" s="44"/>
      <x:c r="AK51" s="44"/>
      <x:c r="AL51" s="44"/>
      <x:c r="AM51" s="44"/>
      <x:c r="AN51" s="44"/>
      <x:c r="AO51" s="44"/>
      <x:c r="AP51" s="44"/>
      <x:c r="AQ51" s="44"/>
      <x:c r="AR51" s="44"/>
      <x:c r="AS51" s="44"/>
      <x:c r="AT51" s="44"/>
      <x:c r="AU51" s="44"/>
      <x:c r="AV51" s="44"/>
      <x:c r="AW51" s="44"/>
      <x:c r="AX51" s="44"/>
      <x:c r="AY51" s="44"/>
      <x:c r="A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  <x:c r="AA52" s="44"/>
      <x:c r="AB52" s="44"/>
      <x:c r="AC52" s="44"/>
      <x:c r="AD52" s="44"/>
      <x:c r="AE52" s="44"/>
      <x:c r="AF52" s="44"/>
      <x:c r="AG52" s="44"/>
      <x:c r="AH52" s="44"/>
      <x:c r="AI52" s="44"/>
      <x:c r="AJ52" s="44"/>
      <x:c r="AK52" s="44"/>
      <x:c r="AL52" s="44"/>
      <x:c r="AM52" s="44"/>
      <x:c r="AN52" s="44"/>
      <x:c r="AO52" s="44"/>
      <x:c r="AP52" s="44"/>
      <x:c r="AQ52" s="44"/>
      <x:c r="AR52" s="44"/>
      <x:c r="AS52" s="44"/>
      <x:c r="AT52" s="44"/>
      <x:c r="AU52" s="44"/>
      <x:c r="AV52" s="44"/>
      <x:c r="AW52" s="44"/>
      <x:c r="AX52" s="44"/>
      <x:c r="AY52" s="44"/>
      <x:c r="A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  <x:c r="AA53" s="44"/>
      <x:c r="AB53" s="44"/>
      <x:c r="AC53" s="44"/>
      <x:c r="AD53" s="44"/>
      <x:c r="AE53" s="44"/>
      <x:c r="AF53" s="44"/>
      <x:c r="AG53" s="44"/>
      <x:c r="AH53" s="44"/>
      <x:c r="AI53" s="44"/>
      <x:c r="AJ53" s="44"/>
      <x:c r="AK53" s="44"/>
      <x:c r="AL53" s="44"/>
      <x:c r="AM53" s="44"/>
      <x:c r="AN53" s="44"/>
      <x:c r="AO53" s="44"/>
      <x:c r="AP53" s="44"/>
      <x:c r="AQ53" s="44"/>
      <x:c r="AR53" s="44"/>
      <x:c r="AS53" s="44"/>
      <x:c r="AT53" s="44"/>
      <x:c r="AU53" s="44"/>
      <x:c r="AV53" s="44"/>
      <x:c r="AW53" s="44"/>
      <x:c r="AX53" s="44"/>
      <x:c r="AY53" s="44"/>
      <x:c r="A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  <x:c r="AA54" s="44"/>
      <x:c r="AB54" s="44"/>
      <x:c r="AC54" s="44"/>
      <x:c r="AD54" s="44"/>
      <x:c r="AE54" s="44"/>
      <x:c r="AF54" s="44"/>
      <x:c r="AG54" s="44"/>
      <x:c r="AH54" s="44"/>
      <x:c r="AI54" s="44"/>
      <x:c r="AJ54" s="44"/>
      <x:c r="AK54" s="44"/>
      <x:c r="AL54" s="44"/>
      <x:c r="AM54" s="44"/>
      <x:c r="AN54" s="44"/>
      <x:c r="AO54" s="44"/>
      <x:c r="AP54" s="44"/>
      <x:c r="AQ54" s="44"/>
      <x:c r="AR54" s="44"/>
      <x:c r="AS54" s="44"/>
      <x:c r="AT54" s="44"/>
      <x:c r="AU54" s="44"/>
      <x:c r="AV54" s="44"/>
      <x:c r="AW54" s="44"/>
      <x:c r="AX54" s="44"/>
      <x:c r="AY54" s="44"/>
      <x:c r="A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  <x:c r="AA55" s="44"/>
      <x:c r="AB55" s="44"/>
      <x:c r="AC55" s="44"/>
      <x:c r="AD55" s="44"/>
      <x:c r="AE55" s="44"/>
      <x:c r="AF55" s="44"/>
      <x:c r="AG55" s="44"/>
      <x:c r="AH55" s="44"/>
      <x:c r="AI55" s="44"/>
      <x:c r="AJ55" s="44"/>
      <x:c r="AK55" s="44"/>
      <x:c r="AL55" s="44"/>
      <x:c r="AM55" s="44"/>
      <x:c r="AN55" s="44"/>
      <x:c r="AO55" s="44"/>
      <x:c r="AP55" s="44"/>
      <x:c r="AQ55" s="44"/>
      <x:c r="AR55" s="44"/>
      <x:c r="AS55" s="44"/>
      <x:c r="AT55" s="44"/>
      <x:c r="AU55" s="44"/>
      <x:c r="AV55" s="44"/>
      <x:c r="AW55" s="44"/>
      <x:c r="AX55" s="44"/>
      <x:c r="AY55" s="44"/>
      <x:c r="A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  <x:c r="AA56" s="44"/>
      <x:c r="AB56" s="44"/>
      <x:c r="AC56" s="44"/>
      <x:c r="AD56" s="44"/>
      <x:c r="AE56" s="44"/>
      <x:c r="AF56" s="44"/>
      <x:c r="AG56" s="44"/>
      <x:c r="AH56" s="44"/>
      <x:c r="AI56" s="44"/>
      <x:c r="AJ56" s="44"/>
      <x:c r="AK56" s="44"/>
      <x:c r="AL56" s="44"/>
      <x:c r="AM56" s="44"/>
      <x:c r="AN56" s="44"/>
      <x:c r="AO56" s="44"/>
      <x:c r="AP56" s="44"/>
      <x:c r="AQ56" s="44"/>
      <x:c r="AR56" s="44"/>
      <x:c r="AS56" s="44"/>
      <x:c r="AT56" s="44"/>
      <x:c r="AU56" s="44"/>
      <x:c r="AV56" s="44"/>
      <x:c r="AW56" s="44"/>
      <x:c r="AX56" s="44"/>
      <x:c r="AY56" s="44"/>
      <x:c r="A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  <x:c r="AA57" s="44"/>
      <x:c r="AB57" s="44"/>
      <x:c r="AC57" s="44"/>
      <x:c r="AD57" s="44"/>
      <x:c r="AE57" s="44"/>
      <x:c r="AF57" s="44"/>
      <x:c r="AG57" s="44"/>
      <x:c r="AH57" s="44"/>
      <x:c r="AI57" s="44"/>
      <x:c r="AJ57" s="44"/>
      <x:c r="AK57" s="44"/>
      <x:c r="AL57" s="44"/>
      <x:c r="AM57" s="44"/>
      <x:c r="AN57" s="44"/>
      <x:c r="AO57" s="44"/>
      <x:c r="AP57" s="44"/>
      <x:c r="AQ57" s="44"/>
      <x:c r="AR57" s="44"/>
      <x:c r="AS57" s="44"/>
      <x:c r="AT57" s="44"/>
      <x:c r="AU57" s="44"/>
      <x:c r="AV57" s="44"/>
      <x:c r="AW57" s="44"/>
      <x:c r="AX57" s="44"/>
      <x:c r="AY57" s="44"/>
      <x:c r="A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  <x:c r="AA58" s="44"/>
      <x:c r="AB58" s="44"/>
      <x:c r="AC58" s="44"/>
      <x:c r="AD58" s="44"/>
      <x:c r="AE58" s="44"/>
      <x:c r="AF58" s="44"/>
      <x:c r="AG58" s="44"/>
      <x:c r="AH58" s="44"/>
      <x:c r="AI58" s="44"/>
      <x:c r="AJ58" s="44"/>
      <x:c r="AK58" s="44"/>
      <x:c r="AL58" s="44"/>
      <x:c r="AM58" s="44"/>
      <x:c r="AN58" s="44"/>
      <x:c r="AO58" s="44"/>
      <x:c r="AP58" s="44"/>
      <x:c r="AQ58" s="44"/>
      <x:c r="AR58" s="44"/>
      <x:c r="AS58" s="44"/>
      <x:c r="AT58" s="44"/>
      <x:c r="AU58" s="44"/>
      <x:c r="AV58" s="44"/>
      <x:c r="AW58" s="44"/>
      <x:c r="AX58" s="44"/>
      <x:c r="AY58" s="44"/>
      <x:c r="A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  <x:c r="AA59" s="44"/>
      <x:c r="AB59" s="44"/>
      <x:c r="AC59" s="44"/>
      <x:c r="AD59" s="44"/>
      <x:c r="AE59" s="44"/>
      <x:c r="AF59" s="44"/>
      <x:c r="AG59" s="44"/>
      <x:c r="AH59" s="44"/>
      <x:c r="AI59" s="44"/>
      <x:c r="AJ59" s="44"/>
      <x:c r="AK59" s="44"/>
      <x:c r="AL59" s="44"/>
      <x:c r="AM59" s="44"/>
      <x:c r="AN59" s="44"/>
      <x:c r="AO59" s="44"/>
      <x:c r="AP59" s="44"/>
      <x:c r="AQ59" s="44"/>
      <x:c r="AR59" s="44"/>
      <x:c r="AS59" s="44"/>
      <x:c r="AT59" s="44"/>
      <x:c r="AU59" s="44"/>
      <x:c r="AV59" s="44"/>
      <x:c r="AW59" s="44"/>
      <x:c r="AX59" s="44"/>
      <x:c r="AY59" s="44"/>
      <x:c r="A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  <x:c r="AA60" s="44"/>
      <x:c r="AB60" s="44"/>
      <x:c r="AC60" s="44"/>
      <x:c r="AD60" s="44"/>
      <x:c r="AE60" s="44"/>
      <x:c r="AF60" s="44"/>
      <x:c r="AG60" s="44"/>
      <x:c r="AH60" s="44"/>
      <x:c r="AI60" s="44"/>
      <x:c r="AJ60" s="44"/>
      <x:c r="AK60" s="44"/>
      <x:c r="AL60" s="44"/>
      <x:c r="AM60" s="44"/>
      <x:c r="AN60" s="44"/>
      <x:c r="AO60" s="44"/>
      <x:c r="AP60" s="44"/>
      <x:c r="AQ60" s="44"/>
      <x:c r="AR60" s="44"/>
      <x:c r="AS60" s="44"/>
      <x:c r="AT60" s="44"/>
      <x:c r="AU60" s="44"/>
      <x:c r="AV60" s="44"/>
      <x:c r="AW60" s="44"/>
      <x:c r="AX60" s="44"/>
      <x:c r="AY60" s="44"/>
      <x:c r="A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  <x:c r="AA61" s="44"/>
      <x:c r="AB61" s="44"/>
      <x:c r="AC61" s="44"/>
      <x:c r="AD61" s="44"/>
      <x:c r="AE61" s="44"/>
      <x:c r="AF61" s="44"/>
      <x:c r="AG61" s="44"/>
      <x:c r="AH61" s="44"/>
      <x:c r="AI61" s="44"/>
      <x:c r="AJ61" s="44"/>
      <x:c r="AK61" s="44"/>
      <x:c r="AL61" s="44"/>
      <x:c r="AM61" s="44"/>
      <x:c r="AN61" s="44"/>
      <x:c r="AO61" s="44"/>
      <x:c r="AP61" s="44"/>
      <x:c r="AQ61" s="44"/>
      <x:c r="AR61" s="44"/>
      <x:c r="AS61" s="44"/>
      <x:c r="AT61" s="44"/>
      <x:c r="AU61" s="44"/>
      <x:c r="AV61" s="44"/>
      <x:c r="AW61" s="44"/>
      <x:c r="AX61" s="44"/>
      <x:c r="AY61" s="44"/>
      <x:c r="A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  <x:c r="AA62" s="44"/>
      <x:c r="AB62" s="44"/>
      <x:c r="AC62" s="44"/>
      <x:c r="AD62" s="44"/>
      <x:c r="AE62" s="44"/>
      <x:c r="AF62" s="44"/>
      <x:c r="AG62" s="44"/>
      <x:c r="AH62" s="44"/>
      <x:c r="AI62" s="44"/>
      <x:c r="AJ62" s="44"/>
      <x:c r="AK62" s="44"/>
      <x:c r="AL62" s="44"/>
      <x:c r="AM62" s="44"/>
      <x:c r="AN62" s="44"/>
      <x:c r="AO62" s="44"/>
      <x:c r="AP62" s="44"/>
      <x:c r="AQ62" s="44"/>
      <x:c r="AR62" s="44"/>
      <x:c r="AS62" s="44"/>
      <x:c r="AT62" s="44"/>
      <x:c r="AU62" s="44"/>
      <x:c r="AV62" s="44"/>
      <x:c r="AW62" s="44"/>
      <x:c r="AX62" s="44"/>
      <x:c r="AY62" s="44"/>
      <x:c r="A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  <x:c r="AA63" s="44"/>
      <x:c r="AB63" s="44"/>
      <x:c r="AC63" s="44"/>
      <x:c r="AD63" s="44"/>
      <x:c r="AE63" s="44"/>
      <x:c r="AF63" s="44"/>
      <x:c r="AG63" s="44"/>
      <x:c r="AH63" s="44"/>
      <x:c r="AI63" s="44"/>
      <x:c r="AJ63" s="44"/>
      <x:c r="AK63" s="44"/>
      <x:c r="AL63" s="44"/>
      <x:c r="AM63" s="44"/>
      <x:c r="AN63" s="44"/>
      <x:c r="AO63" s="44"/>
      <x:c r="AP63" s="44"/>
      <x:c r="AQ63" s="44"/>
      <x:c r="AR63" s="44"/>
      <x:c r="AS63" s="44"/>
      <x:c r="AT63" s="44"/>
      <x:c r="AU63" s="44"/>
      <x:c r="AV63" s="44"/>
      <x:c r="AW63" s="44"/>
      <x:c r="AX63" s="44"/>
      <x:c r="AY63" s="44"/>
      <x:c r="A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  <x:c r="AA64" s="44"/>
      <x:c r="AB64" s="44"/>
      <x:c r="AC64" s="44"/>
      <x:c r="AD64" s="44"/>
      <x:c r="AE64" s="44"/>
      <x:c r="AF64" s="44"/>
      <x:c r="AG64" s="44"/>
      <x:c r="AH64" s="44"/>
      <x:c r="AI64" s="44"/>
      <x:c r="AJ64" s="44"/>
      <x:c r="AK64" s="44"/>
      <x:c r="AL64" s="44"/>
      <x:c r="AM64" s="44"/>
      <x:c r="AN64" s="44"/>
      <x:c r="AO64" s="44"/>
      <x:c r="AP64" s="44"/>
      <x:c r="AQ64" s="44"/>
      <x:c r="AR64" s="44"/>
      <x:c r="AS64" s="44"/>
      <x:c r="AT64" s="44"/>
      <x:c r="AU64" s="44"/>
      <x:c r="AV64" s="44"/>
      <x:c r="AW64" s="44"/>
      <x:c r="AX64" s="44"/>
      <x:c r="AY64" s="44"/>
      <x:c r="A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  <x:c r="AA65" s="44"/>
      <x:c r="AB65" s="44"/>
      <x:c r="AC65" s="44"/>
      <x:c r="AD65" s="44"/>
      <x:c r="AE65" s="44"/>
      <x:c r="AF65" s="44"/>
      <x:c r="AG65" s="44"/>
      <x:c r="AH65" s="44"/>
      <x:c r="AI65" s="44"/>
      <x:c r="AJ65" s="44"/>
      <x:c r="AK65" s="44"/>
      <x:c r="AL65" s="44"/>
      <x:c r="AM65" s="44"/>
      <x:c r="AN65" s="44"/>
      <x:c r="AO65" s="44"/>
      <x:c r="AP65" s="44"/>
      <x:c r="AQ65" s="44"/>
      <x:c r="AR65" s="44"/>
      <x:c r="AS65" s="44"/>
      <x:c r="AT65" s="44"/>
      <x:c r="AU65" s="44"/>
      <x:c r="AV65" s="44"/>
      <x:c r="AW65" s="44"/>
      <x:c r="AX65" s="44"/>
      <x:c r="AY65" s="44"/>
      <x:c r="A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  <x:c r="AA66" s="44"/>
      <x:c r="AB66" s="44"/>
      <x:c r="AC66" s="44"/>
      <x:c r="AD66" s="44"/>
      <x:c r="AE66" s="44"/>
      <x:c r="AF66" s="44"/>
      <x:c r="AG66" s="44"/>
      <x:c r="AH66" s="44"/>
      <x:c r="AI66" s="44"/>
      <x:c r="AJ66" s="44"/>
      <x:c r="AK66" s="44"/>
      <x:c r="AL66" s="44"/>
      <x:c r="AM66" s="44"/>
      <x:c r="AN66" s="44"/>
      <x:c r="AO66" s="44"/>
      <x:c r="AP66" s="44"/>
      <x:c r="AQ66" s="44"/>
      <x:c r="AR66" s="44"/>
      <x:c r="AS66" s="44"/>
      <x:c r="AT66" s="44"/>
      <x:c r="AU66" s="44"/>
      <x:c r="AV66" s="44"/>
      <x:c r="AW66" s="44"/>
      <x:c r="AX66" s="44"/>
      <x:c r="AY66" s="44"/>
      <x:c r="A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  <x:c r="AA67" s="44"/>
      <x:c r="AB67" s="44"/>
      <x:c r="AC67" s="44"/>
      <x:c r="AD67" s="44"/>
      <x:c r="AE67" s="44"/>
      <x:c r="AF67" s="44"/>
      <x:c r="AG67" s="44"/>
      <x:c r="AH67" s="44"/>
      <x:c r="AI67" s="44"/>
      <x:c r="AJ67" s="44"/>
      <x:c r="AK67" s="44"/>
      <x:c r="AL67" s="44"/>
      <x:c r="AM67" s="44"/>
      <x:c r="AN67" s="44"/>
      <x:c r="AO67" s="44"/>
      <x:c r="AP67" s="44"/>
      <x:c r="AQ67" s="44"/>
      <x:c r="AR67" s="44"/>
      <x:c r="AS67" s="44"/>
      <x:c r="AT67" s="44"/>
      <x:c r="AU67" s="44"/>
      <x:c r="AV67" s="44"/>
      <x:c r="AW67" s="44"/>
      <x:c r="AX67" s="44"/>
      <x:c r="AY67" s="44"/>
      <x:c r="A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  <x:c r="AA68" s="44"/>
      <x:c r="AB68" s="44"/>
      <x:c r="AC68" s="44"/>
      <x:c r="AD68" s="44"/>
      <x:c r="AE68" s="44"/>
      <x:c r="AF68" s="44"/>
      <x:c r="AG68" s="44"/>
      <x:c r="AH68" s="44"/>
      <x:c r="AI68" s="44"/>
      <x:c r="AJ68" s="44"/>
      <x:c r="AK68" s="44"/>
      <x:c r="AL68" s="44"/>
      <x:c r="AM68" s="44"/>
      <x:c r="AN68" s="44"/>
      <x:c r="AO68" s="44"/>
      <x:c r="AP68" s="44"/>
      <x:c r="AQ68" s="44"/>
      <x:c r="AR68" s="44"/>
      <x:c r="AS68" s="44"/>
      <x:c r="AT68" s="44"/>
      <x:c r="AU68" s="44"/>
      <x:c r="AV68" s="44"/>
      <x:c r="AW68" s="44"/>
      <x:c r="AX68" s="44"/>
      <x:c r="AY68" s="44"/>
      <x:c r="A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  <x:c r="AA69" s="44"/>
      <x:c r="AB69" s="44"/>
      <x:c r="AC69" s="44"/>
      <x:c r="AD69" s="44"/>
      <x:c r="AE69" s="44"/>
      <x:c r="AF69" s="44"/>
      <x:c r="AG69" s="44"/>
      <x:c r="AH69" s="44"/>
      <x:c r="AI69" s="44"/>
      <x:c r="AJ69" s="44"/>
      <x:c r="AK69" s="44"/>
      <x:c r="AL69" s="44"/>
      <x:c r="AM69" s="44"/>
      <x:c r="AN69" s="44"/>
      <x:c r="AO69" s="44"/>
      <x:c r="AP69" s="44"/>
      <x:c r="AQ69" s="44"/>
      <x:c r="AR69" s="44"/>
      <x:c r="AS69" s="44"/>
      <x:c r="AT69" s="44"/>
      <x:c r="AU69" s="44"/>
      <x:c r="AV69" s="44"/>
      <x:c r="AW69" s="44"/>
      <x:c r="AX69" s="44"/>
      <x:c r="AY69" s="44"/>
      <x:c r="A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  <x:c r="AA70" s="44"/>
      <x:c r="AB70" s="44"/>
      <x:c r="AC70" s="44"/>
      <x:c r="AD70" s="44"/>
      <x:c r="AE70" s="44"/>
      <x:c r="AF70" s="44"/>
      <x:c r="AG70" s="44"/>
      <x:c r="AH70" s="44"/>
      <x:c r="AI70" s="44"/>
      <x:c r="AJ70" s="44"/>
      <x:c r="AK70" s="44"/>
      <x:c r="AL70" s="44"/>
      <x:c r="AM70" s="44"/>
      <x:c r="AN70" s="44"/>
      <x:c r="AO70" s="44"/>
      <x:c r="AP70" s="44"/>
      <x:c r="AQ70" s="44"/>
      <x:c r="AR70" s="44"/>
      <x:c r="AS70" s="44"/>
      <x:c r="AT70" s="44"/>
      <x:c r="AU70" s="44"/>
      <x:c r="AV70" s="44"/>
      <x:c r="AW70" s="44"/>
      <x:c r="AX70" s="44"/>
      <x:c r="AY70" s="44"/>
      <x:c r="A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  <x:c r="AA71" s="44"/>
      <x:c r="AB71" s="44"/>
      <x:c r="AC71" s="44"/>
      <x:c r="AD71" s="44"/>
      <x:c r="AE71" s="44"/>
      <x:c r="AF71" s="44"/>
      <x:c r="AG71" s="44"/>
      <x:c r="AH71" s="44"/>
      <x:c r="AI71" s="44"/>
      <x:c r="AJ71" s="44"/>
      <x:c r="AK71" s="44"/>
      <x:c r="AL71" s="44"/>
      <x:c r="AM71" s="44"/>
      <x:c r="AN71" s="44"/>
      <x:c r="AO71" s="44"/>
      <x:c r="AP71" s="44"/>
      <x:c r="AQ71" s="44"/>
      <x:c r="AR71" s="44"/>
      <x:c r="AS71" s="44"/>
      <x:c r="AT71" s="44"/>
      <x:c r="AU71" s="44"/>
      <x:c r="AV71" s="44"/>
      <x:c r="AW71" s="44"/>
      <x:c r="AX71" s="44"/>
      <x:c r="AY71" s="44"/>
      <x:c r="A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  <x:c r="AA72" s="44"/>
      <x:c r="AB72" s="44"/>
      <x:c r="AC72" s="44"/>
      <x:c r="AD72" s="44"/>
      <x:c r="AE72" s="44"/>
      <x:c r="AF72" s="44"/>
      <x:c r="AG72" s="44"/>
      <x:c r="AH72" s="44"/>
      <x:c r="AI72" s="44"/>
      <x:c r="AJ72" s="44"/>
      <x:c r="AK72" s="44"/>
      <x:c r="AL72" s="44"/>
      <x:c r="AM72" s="44"/>
      <x:c r="AN72" s="44"/>
      <x:c r="AO72" s="44"/>
      <x:c r="AP72" s="44"/>
      <x:c r="AQ72" s="44"/>
      <x:c r="AR72" s="44"/>
      <x:c r="AS72" s="44"/>
      <x:c r="AT72" s="44"/>
      <x:c r="AU72" s="44"/>
      <x:c r="AV72" s="44"/>
      <x:c r="AW72" s="44"/>
      <x:c r="AX72" s="44"/>
      <x:c r="AY72" s="44"/>
      <x:c r="A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  <x:c r="AA73" s="44"/>
      <x:c r="AB73" s="44"/>
      <x:c r="AC73" s="44"/>
      <x:c r="AD73" s="44"/>
      <x:c r="AE73" s="44"/>
      <x:c r="AF73" s="44"/>
      <x:c r="AG73" s="44"/>
      <x:c r="AH73" s="44"/>
      <x:c r="AI73" s="44"/>
      <x:c r="AJ73" s="44"/>
      <x:c r="AK73" s="44"/>
      <x:c r="AL73" s="44"/>
      <x:c r="AM73" s="44"/>
      <x:c r="AN73" s="44"/>
      <x:c r="AO73" s="44"/>
      <x:c r="AP73" s="44"/>
      <x:c r="AQ73" s="44"/>
      <x:c r="AR73" s="44"/>
      <x:c r="AS73" s="44"/>
      <x:c r="AT73" s="44"/>
      <x:c r="AU73" s="44"/>
      <x:c r="AV73" s="44"/>
      <x:c r="AW73" s="44"/>
      <x:c r="AX73" s="44"/>
      <x:c r="AY73" s="44"/>
      <x:c r="A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  <x:c r="AA74" s="44"/>
      <x:c r="AB74" s="44"/>
      <x:c r="AC74" s="44"/>
      <x:c r="AD74" s="44"/>
      <x:c r="AE74" s="44"/>
      <x:c r="AF74" s="44"/>
      <x:c r="AG74" s="44"/>
      <x:c r="AH74" s="44"/>
      <x:c r="AI74" s="44"/>
      <x:c r="AJ74" s="44"/>
      <x:c r="AK74" s="44"/>
      <x:c r="AL74" s="44"/>
      <x:c r="AM74" s="44"/>
      <x:c r="AN74" s="44"/>
      <x:c r="AO74" s="44"/>
      <x:c r="AP74" s="44"/>
      <x:c r="AQ74" s="44"/>
      <x:c r="AR74" s="44"/>
      <x:c r="AS74" s="44"/>
      <x:c r="AT74" s="44"/>
      <x:c r="AU74" s="44"/>
      <x:c r="AV74" s="44"/>
      <x:c r="AW74" s="44"/>
      <x:c r="AX74" s="44"/>
      <x:c r="AY74" s="44"/>
      <x:c r="A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  <x:c r="AA75" s="44"/>
      <x:c r="AB75" s="44"/>
      <x:c r="AC75" s="44"/>
      <x:c r="AD75" s="44"/>
      <x:c r="AE75" s="44"/>
      <x:c r="AF75" s="44"/>
      <x:c r="AG75" s="44"/>
      <x:c r="AH75" s="44"/>
      <x:c r="AI75" s="44"/>
      <x:c r="AJ75" s="44"/>
      <x:c r="AK75" s="44"/>
      <x:c r="AL75" s="44"/>
      <x:c r="AM75" s="44"/>
      <x:c r="AN75" s="44"/>
      <x:c r="AO75" s="44"/>
      <x:c r="AP75" s="44"/>
      <x:c r="AQ75" s="44"/>
      <x:c r="AR75" s="44"/>
      <x:c r="AS75" s="44"/>
      <x:c r="AT75" s="44"/>
      <x:c r="AU75" s="44"/>
      <x:c r="AV75" s="44"/>
      <x:c r="AW75" s="44"/>
      <x:c r="AX75" s="44"/>
      <x:c r="AY75" s="44"/>
      <x:c r="A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  <x:c r="AA76" s="44"/>
      <x:c r="AB76" s="44"/>
      <x:c r="AC76" s="44"/>
      <x:c r="AD76" s="44"/>
      <x:c r="AE76" s="44"/>
      <x:c r="AF76" s="44"/>
      <x:c r="AG76" s="44"/>
      <x:c r="AH76" s="44"/>
      <x:c r="AI76" s="44"/>
      <x:c r="AJ76" s="44"/>
      <x:c r="AK76" s="44"/>
      <x:c r="AL76" s="44"/>
      <x:c r="AM76" s="44"/>
      <x:c r="AN76" s="44"/>
      <x:c r="AO76" s="44"/>
      <x:c r="AP76" s="44"/>
      <x:c r="AQ76" s="44"/>
      <x:c r="AR76" s="44"/>
      <x:c r="AS76" s="44"/>
      <x:c r="AT76" s="44"/>
      <x:c r="AU76" s="44"/>
      <x:c r="AV76" s="44"/>
      <x:c r="AW76" s="44"/>
      <x:c r="AX76" s="44"/>
      <x:c r="AY76" s="44"/>
      <x:c r="A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  <x:c r="AA77" s="44"/>
      <x:c r="AB77" s="44"/>
      <x:c r="AC77" s="44"/>
      <x:c r="AD77" s="44"/>
      <x:c r="AE77" s="44"/>
      <x:c r="AF77" s="44"/>
      <x:c r="AG77" s="44"/>
      <x:c r="AH77" s="44"/>
      <x:c r="AI77" s="44"/>
      <x:c r="AJ77" s="44"/>
      <x:c r="AK77" s="44"/>
      <x:c r="AL77" s="44"/>
      <x:c r="AM77" s="44"/>
      <x:c r="AN77" s="44"/>
      <x:c r="AO77" s="44"/>
      <x:c r="AP77" s="44"/>
      <x:c r="AQ77" s="44"/>
      <x:c r="AR77" s="44"/>
      <x:c r="AS77" s="44"/>
      <x:c r="AT77" s="44"/>
      <x:c r="AU77" s="44"/>
      <x:c r="AV77" s="44"/>
      <x:c r="AW77" s="44"/>
      <x:c r="AX77" s="44"/>
      <x:c r="AY77" s="44"/>
      <x:c r="A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  <x:c r="AA78" s="44"/>
      <x:c r="AB78" s="44"/>
      <x:c r="AC78" s="44"/>
      <x:c r="AD78" s="44"/>
      <x:c r="AE78" s="44"/>
      <x:c r="AF78" s="44"/>
      <x:c r="AG78" s="44"/>
      <x:c r="AH78" s="44"/>
      <x:c r="AI78" s="44"/>
      <x:c r="AJ78" s="44"/>
      <x:c r="AK78" s="44"/>
      <x:c r="AL78" s="44"/>
      <x:c r="AM78" s="44"/>
      <x:c r="AN78" s="44"/>
      <x:c r="AO78" s="44"/>
      <x:c r="AP78" s="44"/>
      <x:c r="AQ78" s="44"/>
      <x:c r="AR78" s="44"/>
      <x:c r="AS78" s="44"/>
      <x:c r="AT78" s="44"/>
      <x:c r="AU78" s="44"/>
      <x:c r="AV78" s="44"/>
      <x:c r="AW78" s="44"/>
      <x:c r="AX78" s="44"/>
      <x:c r="AY78" s="44"/>
      <x:c r="A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  <x:c r="AA79" s="44"/>
      <x:c r="AB79" s="44"/>
      <x:c r="AC79" s="44"/>
      <x:c r="AD79" s="44"/>
      <x:c r="AE79" s="44"/>
      <x:c r="AF79" s="44"/>
      <x:c r="AG79" s="44"/>
      <x:c r="AH79" s="44"/>
      <x:c r="AI79" s="44"/>
      <x:c r="AJ79" s="44"/>
      <x:c r="AK79" s="44"/>
      <x:c r="AL79" s="44"/>
      <x:c r="AM79" s="44"/>
      <x:c r="AN79" s="44"/>
      <x:c r="AO79" s="44"/>
      <x:c r="AP79" s="44"/>
      <x:c r="AQ79" s="44"/>
      <x:c r="AR79" s="44"/>
      <x:c r="AS79" s="44"/>
      <x:c r="AT79" s="44"/>
      <x:c r="AU79" s="44"/>
      <x:c r="AV79" s="44"/>
      <x:c r="AW79" s="44"/>
      <x:c r="AX79" s="44"/>
      <x:c r="AY79" s="44"/>
      <x:c r="A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  <x:c r="AA80" s="44"/>
      <x:c r="AB80" s="44"/>
      <x:c r="AC80" s="44"/>
      <x:c r="AD80" s="44"/>
      <x:c r="AE80" s="44"/>
      <x:c r="AF80" s="44"/>
      <x:c r="AG80" s="44"/>
      <x:c r="AH80" s="44"/>
      <x:c r="AI80" s="44"/>
      <x:c r="AJ80" s="44"/>
      <x:c r="AK80" s="44"/>
      <x:c r="AL80" s="44"/>
      <x:c r="AM80" s="44"/>
      <x:c r="AN80" s="44"/>
      <x:c r="AO80" s="44"/>
      <x:c r="AP80" s="44"/>
      <x:c r="AQ80" s="44"/>
      <x:c r="AR80" s="44"/>
      <x:c r="AS80" s="44"/>
      <x:c r="AT80" s="44"/>
      <x:c r="AU80" s="44"/>
      <x:c r="AV80" s="44"/>
      <x:c r="AW80" s="44"/>
      <x:c r="AX80" s="44"/>
      <x:c r="AY80" s="44"/>
      <x:c r="A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  <x:c r="AA81" s="44"/>
      <x:c r="AB81" s="44"/>
      <x:c r="AC81" s="44"/>
      <x:c r="AD81" s="44"/>
      <x:c r="AE81" s="44"/>
      <x:c r="AF81" s="44"/>
      <x:c r="AG81" s="44"/>
      <x:c r="AH81" s="44"/>
      <x:c r="AI81" s="44"/>
      <x:c r="AJ81" s="44"/>
      <x:c r="AK81" s="44"/>
      <x:c r="AL81" s="44"/>
      <x:c r="AM81" s="44"/>
      <x:c r="AN81" s="44"/>
      <x:c r="AO81" s="44"/>
      <x:c r="AP81" s="44"/>
      <x:c r="AQ81" s="44"/>
      <x:c r="AR81" s="44"/>
      <x:c r="AS81" s="44"/>
      <x:c r="AT81" s="44"/>
      <x:c r="AU81" s="44"/>
      <x:c r="AV81" s="44"/>
      <x:c r="AW81" s="44"/>
      <x:c r="AX81" s="44"/>
      <x:c r="AY81" s="44"/>
      <x:c r="A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  <x:c r="AA82" s="44"/>
      <x:c r="AB82" s="44"/>
      <x:c r="AC82" s="44"/>
      <x:c r="AD82" s="44"/>
      <x:c r="AE82" s="44"/>
      <x:c r="AF82" s="44"/>
      <x:c r="AG82" s="44"/>
      <x:c r="AH82" s="44"/>
      <x:c r="AI82" s="44"/>
      <x:c r="AJ82" s="44"/>
      <x:c r="AK82" s="44"/>
      <x:c r="AL82" s="44"/>
      <x:c r="AM82" s="44"/>
      <x:c r="AN82" s="44"/>
      <x:c r="AO82" s="44"/>
      <x:c r="AP82" s="44"/>
      <x:c r="AQ82" s="44"/>
      <x:c r="AR82" s="44"/>
      <x:c r="AS82" s="44"/>
      <x:c r="AT82" s="44"/>
      <x:c r="AU82" s="44"/>
      <x:c r="AV82" s="44"/>
      <x:c r="AW82" s="44"/>
      <x:c r="AX82" s="44"/>
      <x:c r="AY82" s="44"/>
      <x:c r="A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  <x:c r="AA83" s="44"/>
      <x:c r="AB83" s="44"/>
      <x:c r="AC83" s="44"/>
      <x:c r="AD83" s="44"/>
      <x:c r="AE83" s="44"/>
      <x:c r="AF83" s="44"/>
      <x:c r="AG83" s="44"/>
      <x:c r="AH83" s="44"/>
      <x:c r="AI83" s="44"/>
      <x:c r="AJ83" s="44"/>
      <x:c r="AK83" s="44"/>
      <x:c r="AL83" s="44"/>
      <x:c r="AM83" s="44"/>
      <x:c r="AN83" s="44"/>
      <x:c r="AO83" s="44"/>
      <x:c r="AP83" s="44"/>
      <x:c r="AQ83" s="44"/>
      <x:c r="AR83" s="44"/>
      <x:c r="AS83" s="44"/>
      <x:c r="AT83" s="44"/>
      <x:c r="AU83" s="44"/>
      <x:c r="AV83" s="44"/>
      <x:c r="AW83" s="44"/>
      <x:c r="AX83" s="44"/>
      <x:c r="AY83" s="44"/>
      <x:c r="A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  <x:c r="AA84" s="44"/>
      <x:c r="AB84" s="44"/>
      <x:c r="AC84" s="44"/>
      <x:c r="AD84" s="44"/>
      <x:c r="AE84" s="44"/>
      <x:c r="AF84" s="44"/>
      <x:c r="AG84" s="44"/>
      <x:c r="AH84" s="44"/>
      <x:c r="AI84" s="44"/>
      <x:c r="AJ84" s="44"/>
      <x:c r="AK84" s="44"/>
      <x:c r="AL84" s="44"/>
      <x:c r="AM84" s="44"/>
      <x:c r="AN84" s="44"/>
      <x:c r="AO84" s="44"/>
      <x:c r="AP84" s="44"/>
      <x:c r="AQ84" s="44"/>
      <x:c r="AR84" s="44"/>
      <x:c r="AS84" s="44"/>
      <x:c r="AT84" s="44"/>
      <x:c r="AU84" s="44"/>
      <x:c r="AV84" s="44"/>
      <x:c r="AW84" s="44"/>
      <x:c r="AX84" s="44"/>
      <x:c r="AY84" s="44"/>
      <x:c r="A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  <x:c r="AA85" s="44"/>
      <x:c r="AB85" s="44"/>
      <x:c r="AC85" s="44"/>
      <x:c r="AD85" s="44"/>
      <x:c r="AE85" s="44"/>
      <x:c r="AF85" s="44"/>
      <x:c r="AG85" s="44"/>
      <x:c r="AH85" s="44"/>
      <x:c r="AI85" s="44"/>
      <x:c r="AJ85" s="44"/>
      <x:c r="AK85" s="44"/>
      <x:c r="AL85" s="44"/>
      <x:c r="AM85" s="44"/>
      <x:c r="AN85" s="44"/>
      <x:c r="AO85" s="44"/>
      <x:c r="AP85" s="44"/>
      <x:c r="AQ85" s="44"/>
      <x:c r="AR85" s="44"/>
      <x:c r="AS85" s="44"/>
      <x:c r="AT85" s="44"/>
      <x:c r="AU85" s="44"/>
      <x:c r="AV85" s="44"/>
      <x:c r="AW85" s="44"/>
      <x:c r="AX85" s="44"/>
      <x:c r="AY85" s="44"/>
      <x:c r="A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  <x:c r="AA86" s="44"/>
      <x:c r="AB86" s="44"/>
      <x:c r="AC86" s="44"/>
      <x:c r="AD86" s="44"/>
      <x:c r="AE86" s="44"/>
      <x:c r="AF86" s="44"/>
      <x:c r="AG86" s="44"/>
      <x:c r="AH86" s="44"/>
      <x:c r="AI86" s="44"/>
      <x:c r="AJ86" s="44"/>
      <x:c r="AK86" s="44"/>
      <x:c r="AL86" s="44"/>
      <x:c r="AM86" s="44"/>
      <x:c r="AN86" s="44"/>
      <x:c r="AO86" s="44"/>
      <x:c r="AP86" s="44"/>
      <x:c r="AQ86" s="44"/>
      <x:c r="AR86" s="44"/>
      <x:c r="AS86" s="44"/>
      <x:c r="AT86" s="44"/>
      <x:c r="AU86" s="44"/>
      <x:c r="AV86" s="44"/>
      <x:c r="AW86" s="44"/>
      <x:c r="AX86" s="44"/>
      <x:c r="AY86" s="44"/>
      <x:c r="A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  <x:c r="AA87" s="44"/>
      <x:c r="AB87" s="44"/>
      <x:c r="AC87" s="44"/>
      <x:c r="AD87" s="44"/>
      <x:c r="AE87" s="44"/>
      <x:c r="AF87" s="44"/>
      <x:c r="AG87" s="44"/>
      <x:c r="AH87" s="44"/>
      <x:c r="AI87" s="44"/>
      <x:c r="AJ87" s="44"/>
      <x:c r="AK87" s="44"/>
      <x:c r="AL87" s="44"/>
      <x:c r="AM87" s="44"/>
      <x:c r="AN87" s="44"/>
      <x:c r="AO87" s="44"/>
      <x:c r="AP87" s="44"/>
      <x:c r="AQ87" s="44"/>
      <x:c r="AR87" s="44"/>
      <x:c r="AS87" s="44"/>
      <x:c r="AT87" s="44"/>
      <x:c r="AU87" s="44"/>
      <x:c r="AV87" s="44"/>
      <x:c r="AW87" s="44"/>
      <x:c r="AX87" s="44"/>
      <x:c r="AY87" s="44"/>
      <x:c r="A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  <x:c r="AA88" s="44"/>
      <x:c r="AB88" s="44"/>
      <x:c r="AC88" s="44"/>
      <x:c r="AD88" s="44"/>
      <x:c r="AE88" s="44"/>
      <x:c r="AF88" s="44"/>
      <x:c r="AG88" s="44"/>
      <x:c r="AH88" s="44"/>
      <x:c r="AI88" s="44"/>
      <x:c r="AJ88" s="44"/>
      <x:c r="AK88" s="44"/>
      <x:c r="AL88" s="44"/>
      <x:c r="AM88" s="44"/>
      <x:c r="AN88" s="44"/>
      <x:c r="AO88" s="44"/>
      <x:c r="AP88" s="44"/>
      <x:c r="AQ88" s="44"/>
      <x:c r="AR88" s="44"/>
      <x:c r="AS88" s="44"/>
      <x:c r="AT88" s="44"/>
      <x:c r="AU88" s="44"/>
      <x:c r="AV88" s="44"/>
      <x:c r="AW88" s="44"/>
      <x:c r="AX88" s="44"/>
      <x:c r="AY88" s="44"/>
      <x:c r="A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  <x:c r="AA89" s="44"/>
      <x:c r="AB89" s="44"/>
      <x:c r="AC89" s="44"/>
      <x:c r="AD89" s="44"/>
      <x:c r="AE89" s="44"/>
      <x:c r="AF89" s="44"/>
      <x:c r="AG89" s="44"/>
      <x:c r="AH89" s="44"/>
      <x:c r="AI89" s="44"/>
      <x:c r="AJ89" s="44"/>
      <x:c r="AK89" s="44"/>
      <x:c r="AL89" s="44"/>
      <x:c r="AM89" s="44"/>
      <x:c r="AN89" s="44"/>
      <x:c r="AO89" s="44"/>
      <x:c r="AP89" s="44"/>
      <x:c r="AQ89" s="44"/>
      <x:c r="AR89" s="44"/>
      <x:c r="AS89" s="44"/>
      <x:c r="AT89" s="44"/>
      <x:c r="AU89" s="44"/>
      <x:c r="AV89" s="44"/>
      <x:c r="AW89" s="44"/>
      <x:c r="AX89" s="44"/>
      <x:c r="AY89" s="44"/>
      <x:c r="A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  <x:c r="AA90" s="44"/>
      <x:c r="AB90" s="44"/>
      <x:c r="AC90" s="44"/>
      <x:c r="AD90" s="44"/>
      <x:c r="AE90" s="44"/>
      <x:c r="AF90" s="44"/>
      <x:c r="AG90" s="44"/>
      <x:c r="AH90" s="44"/>
      <x:c r="AI90" s="44"/>
      <x:c r="AJ90" s="44"/>
      <x:c r="AK90" s="44"/>
      <x:c r="AL90" s="44"/>
      <x:c r="AM90" s="44"/>
      <x:c r="AN90" s="44"/>
      <x:c r="AO90" s="44"/>
      <x:c r="AP90" s="44"/>
      <x:c r="AQ90" s="44"/>
      <x:c r="AR90" s="44"/>
      <x:c r="AS90" s="44"/>
      <x:c r="AT90" s="44"/>
      <x:c r="AU90" s="44"/>
      <x:c r="AV90" s="44"/>
      <x:c r="AW90" s="44"/>
      <x:c r="AX90" s="44"/>
      <x:c r="AY90" s="44"/>
      <x:c r="A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  <x:c r="AA91" s="44"/>
      <x:c r="AB91" s="44"/>
      <x:c r="AC91" s="44"/>
      <x:c r="AD91" s="44"/>
      <x:c r="AE91" s="44"/>
      <x:c r="AF91" s="44"/>
      <x:c r="AG91" s="44"/>
      <x:c r="AH91" s="44"/>
      <x:c r="AI91" s="44"/>
      <x:c r="AJ91" s="44"/>
      <x:c r="AK91" s="44"/>
      <x:c r="AL91" s="44"/>
      <x:c r="AM91" s="44"/>
      <x:c r="AN91" s="44"/>
      <x:c r="AO91" s="44"/>
      <x:c r="AP91" s="44"/>
      <x:c r="AQ91" s="44"/>
      <x:c r="AR91" s="44"/>
      <x:c r="AS91" s="44"/>
      <x:c r="AT91" s="44"/>
      <x:c r="AU91" s="44"/>
      <x:c r="AV91" s="44"/>
      <x:c r="AW91" s="44"/>
      <x:c r="AX91" s="44"/>
      <x:c r="AY91" s="44"/>
      <x:c r="A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  <x:c r="AA92" s="44"/>
      <x:c r="AB92" s="44"/>
      <x:c r="AC92" s="44"/>
      <x:c r="AD92" s="44"/>
      <x:c r="AE92" s="44"/>
      <x:c r="AF92" s="44"/>
      <x:c r="AG92" s="44"/>
      <x:c r="AH92" s="44"/>
      <x:c r="AI92" s="44"/>
      <x:c r="AJ92" s="44"/>
      <x:c r="AK92" s="44"/>
      <x:c r="AL92" s="44"/>
      <x:c r="AM92" s="44"/>
      <x:c r="AN92" s="44"/>
      <x:c r="AO92" s="44"/>
      <x:c r="AP92" s="44"/>
      <x:c r="AQ92" s="44"/>
      <x:c r="AR92" s="44"/>
      <x:c r="AS92" s="44"/>
      <x:c r="AT92" s="44"/>
      <x:c r="AU92" s="44"/>
      <x:c r="AV92" s="44"/>
      <x:c r="AW92" s="44"/>
      <x:c r="AX92" s="44"/>
      <x:c r="AY92" s="44"/>
      <x:c r="A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  <x:c r="AA93" s="44"/>
      <x:c r="AB93" s="44"/>
      <x:c r="AC93" s="44"/>
      <x:c r="AD93" s="44"/>
      <x:c r="AE93" s="44"/>
      <x:c r="AF93" s="44"/>
      <x:c r="AG93" s="44"/>
      <x:c r="AH93" s="44"/>
      <x:c r="AI93" s="44"/>
      <x:c r="AJ93" s="44"/>
      <x:c r="AK93" s="44"/>
      <x:c r="AL93" s="44"/>
      <x:c r="AM93" s="44"/>
      <x:c r="AN93" s="44"/>
      <x:c r="AO93" s="44"/>
      <x:c r="AP93" s="44"/>
      <x:c r="AQ93" s="44"/>
      <x:c r="AR93" s="44"/>
      <x:c r="AS93" s="44"/>
      <x:c r="AT93" s="44"/>
      <x:c r="AU93" s="44"/>
      <x:c r="AV93" s="44"/>
      <x:c r="AW93" s="44"/>
      <x:c r="AX93" s="44"/>
      <x:c r="AY93" s="44"/>
      <x:c r="A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  <x:c r="AA94" s="44"/>
      <x:c r="AB94" s="44"/>
      <x:c r="AC94" s="44"/>
      <x:c r="AD94" s="44"/>
      <x:c r="AE94" s="44"/>
      <x:c r="AF94" s="44"/>
      <x:c r="AG94" s="44"/>
      <x:c r="AH94" s="44"/>
      <x:c r="AI94" s="44"/>
      <x:c r="AJ94" s="44"/>
      <x:c r="AK94" s="44"/>
      <x:c r="AL94" s="44"/>
      <x:c r="AM94" s="44"/>
      <x:c r="AN94" s="44"/>
      <x:c r="AO94" s="44"/>
      <x:c r="AP94" s="44"/>
      <x:c r="AQ94" s="44"/>
      <x:c r="AR94" s="44"/>
      <x:c r="AS94" s="44"/>
      <x:c r="AT94" s="44"/>
      <x:c r="AU94" s="44"/>
      <x:c r="AV94" s="44"/>
      <x:c r="AW94" s="44"/>
      <x:c r="AX94" s="44"/>
      <x:c r="AY94" s="44"/>
      <x:c r="A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  <x:c r="AA95" s="44"/>
      <x:c r="AB95" s="44"/>
      <x:c r="AC95" s="44"/>
      <x:c r="AD95" s="44"/>
      <x:c r="AE95" s="44"/>
      <x:c r="AF95" s="44"/>
      <x:c r="AG95" s="44"/>
      <x:c r="AH95" s="44"/>
      <x:c r="AI95" s="44"/>
      <x:c r="AJ95" s="44"/>
      <x:c r="AK95" s="44"/>
      <x:c r="AL95" s="44"/>
      <x:c r="AM95" s="44"/>
      <x:c r="AN95" s="44"/>
      <x:c r="AO95" s="44"/>
      <x:c r="AP95" s="44"/>
      <x:c r="AQ95" s="44"/>
      <x:c r="AR95" s="44"/>
      <x:c r="AS95" s="44"/>
      <x:c r="AT95" s="44"/>
      <x:c r="AU95" s="44"/>
      <x:c r="AV95" s="44"/>
      <x:c r="AW95" s="44"/>
      <x:c r="AX95" s="44"/>
      <x:c r="AY95" s="44"/>
      <x:c r="A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  <x:c r="AA96" s="44"/>
      <x:c r="AB96" s="44"/>
      <x:c r="AC96" s="44"/>
      <x:c r="AD96" s="44"/>
      <x:c r="AE96" s="44"/>
      <x:c r="AF96" s="44"/>
      <x:c r="AG96" s="44"/>
      <x:c r="AH96" s="44"/>
      <x:c r="AI96" s="44"/>
      <x:c r="AJ96" s="44"/>
      <x:c r="AK96" s="44"/>
      <x:c r="AL96" s="44"/>
      <x:c r="AM96" s="44"/>
      <x:c r="AN96" s="44"/>
      <x:c r="AO96" s="44"/>
      <x:c r="AP96" s="44"/>
      <x:c r="AQ96" s="44"/>
      <x:c r="AR96" s="44"/>
      <x:c r="AS96" s="44"/>
      <x:c r="AT96" s="44"/>
      <x:c r="AU96" s="44"/>
      <x:c r="AV96" s="44"/>
      <x:c r="AW96" s="44"/>
      <x:c r="AX96" s="44"/>
      <x:c r="AY96" s="44"/>
      <x:c r="A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  <x:c r="AA97" s="44"/>
      <x:c r="AB97" s="44"/>
      <x:c r="AC97" s="44"/>
      <x:c r="AD97" s="44"/>
      <x:c r="AE97" s="44"/>
      <x:c r="AF97" s="44"/>
      <x:c r="AG97" s="44"/>
      <x:c r="AH97" s="44"/>
      <x:c r="AI97" s="44"/>
      <x:c r="AJ97" s="44"/>
      <x:c r="AK97" s="44"/>
      <x:c r="AL97" s="44"/>
      <x:c r="AM97" s="44"/>
      <x:c r="AN97" s="44"/>
      <x:c r="AO97" s="44"/>
      <x:c r="AP97" s="44"/>
      <x:c r="AQ97" s="44"/>
      <x:c r="AR97" s="44"/>
      <x:c r="AS97" s="44"/>
      <x:c r="AT97" s="44"/>
      <x:c r="AU97" s="44"/>
      <x:c r="AV97" s="44"/>
      <x:c r="AW97" s="44"/>
      <x:c r="AX97" s="44"/>
      <x:c r="AY97" s="44"/>
      <x:c r="A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  <x:c r="AA98" s="44"/>
      <x:c r="AB98" s="44"/>
      <x:c r="AC98" s="44"/>
      <x:c r="AD98" s="44"/>
      <x:c r="AE98" s="44"/>
      <x:c r="AF98" s="44"/>
      <x:c r="AG98" s="44"/>
      <x:c r="AH98" s="44"/>
      <x:c r="AI98" s="44"/>
      <x:c r="AJ98" s="44"/>
      <x:c r="AK98" s="44"/>
      <x:c r="AL98" s="44"/>
      <x:c r="AM98" s="44"/>
      <x:c r="AN98" s="44"/>
      <x:c r="AO98" s="44"/>
      <x:c r="AP98" s="44"/>
      <x:c r="AQ98" s="44"/>
      <x:c r="AR98" s="44"/>
      <x:c r="AS98" s="44"/>
      <x:c r="AT98" s="44"/>
      <x:c r="AU98" s="44"/>
      <x:c r="AV98" s="44"/>
      <x:c r="AW98" s="44"/>
      <x:c r="AX98" s="44"/>
      <x:c r="AY98" s="44"/>
      <x:c r="A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  <x:c r="AA99" s="44"/>
      <x:c r="AB99" s="44"/>
      <x:c r="AC99" s="44"/>
      <x:c r="AD99" s="44"/>
      <x:c r="AE99" s="44"/>
      <x:c r="AF99" s="44"/>
      <x:c r="AG99" s="44"/>
      <x:c r="AH99" s="44"/>
      <x:c r="AI99" s="44"/>
      <x:c r="AJ99" s="44"/>
      <x:c r="AK99" s="44"/>
      <x:c r="AL99" s="44"/>
      <x:c r="AM99" s="44"/>
      <x:c r="AN99" s="44"/>
      <x:c r="AO99" s="44"/>
      <x:c r="AP99" s="44"/>
      <x:c r="AQ99" s="44"/>
      <x:c r="AR99" s="44"/>
      <x:c r="AS99" s="44"/>
      <x:c r="AT99" s="44"/>
      <x:c r="AU99" s="44"/>
      <x:c r="AV99" s="44"/>
      <x:c r="AW99" s="44"/>
      <x:c r="AX99" s="44"/>
      <x:c r="AY99" s="44"/>
      <x:c r="A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  <x:c r="AA100" s="44"/>
      <x:c r="AB100" s="44"/>
      <x:c r="AC100" s="44"/>
      <x:c r="AD100" s="44"/>
      <x:c r="AE100" s="44"/>
      <x:c r="AF100" s="44"/>
      <x:c r="AG100" s="44"/>
      <x:c r="AH100" s="44"/>
      <x:c r="AI100" s="44"/>
      <x:c r="AJ100" s="44"/>
      <x:c r="AK100" s="44"/>
      <x:c r="AL100" s="44"/>
      <x:c r="AM100" s="44"/>
      <x:c r="AN100" s="44"/>
      <x:c r="AO100" s="44"/>
      <x:c r="AP100" s="44"/>
      <x:c r="AQ100" s="44"/>
      <x:c r="AR100" s="44"/>
      <x:c r="AS100" s="44"/>
      <x:c r="AT100" s="44"/>
      <x:c r="AU100" s="44"/>
      <x:c r="AV100" s="44"/>
      <x:c r="AW100" s="44"/>
      <x:c r="AX100" s="44"/>
      <x:c r="AY100" s="44"/>
      <x:c r="AZ100" s="44"/>
    </x:row>
  </x:sheetData>
  <x:pageMargins left="0.7" right="0.7" top="0.75" bottom="0.75" header="0.3" footer="0.3"/>
</x:worksheet>
</file>